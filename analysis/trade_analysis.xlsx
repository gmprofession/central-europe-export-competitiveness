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README" sheetId="1" state="visible" r:id="rId3"/>
    <sheet name="02_RAW_DATA" sheetId="2" state="visible" r:id="rId4"/>
    <sheet name="03_CLEAN_DATA" sheetId="3" state="visible" r:id="rId5"/>
    <sheet name="04_CALCULATIONS" sheetId="4" state="visible" r:id="rId6"/>
    <sheet name="05_CHARTS" sheetId="5" state="visible" r:id="rId7"/>
    <sheet name="06_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<sst xmlns="http://schemas.openxmlformats.org/spreadsheetml/2006/main" count="1036" uniqueCount="389">
  <si>
    <t xml:space="preserve">Export Competitiveness and Economic Performance in Central Europe</t>
  </si>
  <si>
    <t xml:space="preserve">A Comparative Analysis of Hungary, Poland, Czechia and Slovakia - independent research project (not employer work)</t>
  </si>
  <si>
    <t xml:space="preserve">Research question</t>
  </si>
  <si>
    <t xml:space="preserve">How has export competitiveness evolved across Hungary, Poland, Czechia and Slovakia since 2010, and what economic factors help explain differences in their trade performance?</t>
  </si>
  <si>
    <t xml:space="preserve">Countries</t>
  </si>
  <si>
    <t xml:space="preserve">Hungary (HUN), Poland (POL), Czechia (CZE), Slovakia (SVK). WDI names: Hungary, Poland, Czechia, Slovak Republic; standardised to Slovakia in the clean sheet.</t>
  </si>
  <si>
    <t xml:space="preserve">Analysis window</t>
  </si>
  <si>
    <t xml:space="preserve">2010-2025 annual = 64 country-year observations. 2009 is downloaded as a base year only (for 2010 export growth).</t>
  </si>
  <si>
    <t xml:space="preserve">Author</t>
  </si>
  <si>
    <t xml:space="preserve">Ghulam Mustafa</t>
  </si>
  <si>
    <t xml:space="preserve">Source</t>
  </si>
  <si>
    <t xml:space="preserve">World Bank, World Development Indicators (databank.worldbank.org), downloaded as CSV by the author.</t>
  </si>
  <si>
    <t xml:space="preserve">Raw file</t>
  </si>
  <si>
    <t xml:space="preserve">3ed9e304-4fec-4c09-ab92-21d2d709e1a1_Data.csv (copied unchanged into 02_RAW_DATA).</t>
  </si>
  <si>
    <t xml:space="preserve">WDI last updated</t>
  </si>
  <si>
    <t xml:space="preserve">10/08/2026 as printed in the file footer. The day/month order is not stated in the file; confirm on DataBank before citing.</t>
  </si>
  <si>
    <t xml:space="preserve">Workbook last updated</t>
  </si>
  <si>
    <t xml:space="preserve">25 October 2026 (Phase 4: charts and interpretation added by add_charts.py)</t>
  </si>
  <si>
    <t xml:space="preserve">Missing data rule</t>
  </si>
  <si>
    <t xml:space="preserve">Missing values stay missing (blank) and are reported in 06_SUMMARY section 1. Nothing is estimated or filled. Outliers are flagged, never dropped.</t>
  </si>
  <si>
    <t xml:space="preserve">Colour code</t>
  </si>
  <si>
    <t xml:space="preserve">Blue text = hard-coded input (raw values, keys, parameters). Black text = formula. Yellow fill = adjustable parameter.</t>
  </si>
  <si>
    <t xml:space="preserve">Sheet guide</t>
  </si>
  <si>
    <t xml:space="preserve">01_README</t>
  </si>
  <si>
    <t xml:space="preserve">This sheet: scope, sources, variable dictionary, definitions.</t>
  </si>
  <si>
    <t xml:space="preserve">02_RAW_DATA</t>
  </si>
  <si>
    <t xml:space="preserve">Original WDI download, untouched (values and footer exactly as in the CSV).</t>
  </si>
  <si>
    <t xml:space="preserve">03_CLEAN_DATA</t>
  </si>
  <si>
    <t xml:space="preserve">Long format, Country | Code | Year | 14 variables. Every cell is a formula that looks up 02_RAW_DATA; blank = missing.</t>
  </si>
  <si>
    <t xml:space="preserve">04_CALCULATIONS</t>
  </si>
  <si>
    <t xml:space="preserve">Row-level indicators (export growth, trade balance, openness check, export index), period labels, outlier flags.</t>
  </si>
  <si>
    <t xml:space="preserve">05_CHARTS</t>
  </si>
  <si>
    <t xml:space="preserve">Phase 4: the 8 blueprint charts as live Excel charts (linked to 03/04), each with Observation -&gt; Explanation -&gt; Implication.</t>
  </si>
  <si>
    <t xml:space="preserve">06_SUMMARY</t>
  </si>
  <si>
    <t xml:space="preserve">Data-quality table, integrity checks, descriptive statistics, CAGR, period averages, correlation, frozen-rule checks.</t>
  </si>
  <si>
    <t xml:space="preserve">Calculated indicators (04_CALCULATIONS / 06_SUMMARY)</t>
  </si>
  <si>
    <t xml:space="preserve">Export growth (real %) = (Exports_const_t / Exports_const_t-1 - 1) x 100, constant 2015 US$. | Trade balance % GDP = (Exports - Imports) / GDP x 100 (current US$). | Trade openness = (Exports + Imports) / GDP x 100, checked against WDI Trade % GDP. | CAGR = (End/Begin)^(1/n) - 1. | Export index = Exports_const_t / Exports_const_2010 x 100.</t>
  </si>
  <si>
    <t xml:space="preserve">#</t>
  </si>
  <si>
    <t xml:space="preserve">Clean-sheet variable</t>
  </si>
  <si>
    <t xml:space="preserve">WDI code</t>
  </si>
  <si>
    <t xml:space="preserve">WDI series name (as in file)</t>
  </si>
  <si>
    <t xml:space="preserve">Unit</t>
  </si>
  <si>
    <t xml:space="preserve">Role</t>
  </si>
  <si>
    <t xml:space="preserve">Tier</t>
  </si>
  <si>
    <t xml:space="preserve">GDP_current_USD</t>
  </si>
  <si>
    <t xml:space="preserve">NY.GDP.MKTP.CD</t>
  </si>
  <si>
    <t xml:space="preserve">GDP (current US$)</t>
  </si>
  <si>
    <t xml:space="preserve">current US$</t>
  </si>
  <si>
    <t xml:space="preserve">denominator; trade balance</t>
  </si>
  <si>
    <t xml:space="preserve">Core</t>
  </si>
  <si>
    <t xml:space="preserve">GDP_growth_pct</t>
  </si>
  <si>
    <t xml:space="preserve">NY.GDP.MKTP.KD.ZG</t>
  </si>
  <si>
    <t xml:space="preserve">GDP growth (annual %)</t>
  </si>
  <si>
    <t xml:space="preserve">%</t>
  </si>
  <si>
    <t xml:space="preserve">H4; correlation</t>
  </si>
  <si>
    <t xml:space="preserve">GDP_per_capita_USD</t>
  </si>
  <si>
    <t xml:space="preserve">NY.GDP.PCAP.CD</t>
  </si>
  <si>
    <t xml:space="preserve">GDP per capita (current US$)</t>
  </si>
  <si>
    <t xml:space="preserve">context</t>
  </si>
  <si>
    <t xml:space="preserve">Exports_current_USD</t>
  </si>
  <si>
    <t xml:space="preserve">NE.EXP.GNFS.CD</t>
  </si>
  <si>
    <t xml:space="preserve">Exports of goods and services (current US$)</t>
  </si>
  <si>
    <t xml:space="preserve">trade balance</t>
  </si>
  <si>
    <t xml:space="preserve">Exports_constant2015_USD</t>
  </si>
  <si>
    <t xml:space="preserve">NE.EXP.GNFS.KD</t>
  </si>
  <si>
    <t xml:space="preserve">Exports of goods and services (constant 2015 US$)</t>
  </si>
  <si>
    <t xml:space="preserve">constant 2015 US$</t>
  </si>
  <si>
    <t xml:space="preserve">export growth, CAGR, index</t>
  </si>
  <si>
    <t xml:space="preserve">Imports_current_USD</t>
  </si>
  <si>
    <t xml:space="preserve">NE.IMP.GNFS.CD</t>
  </si>
  <si>
    <t xml:space="preserve">Imports of goods and services (current US$)</t>
  </si>
  <si>
    <t xml:space="preserve">Exports_pct_GDP</t>
  </si>
  <si>
    <t xml:space="preserve">NE.EXP.GNFS.ZS</t>
  </si>
  <si>
    <t xml:space="preserve">Exports of goods and services (% of GDP)</t>
  </si>
  <si>
    <t xml:space="preserve">% of GDP</t>
  </si>
  <si>
    <t xml:space="preserve">chart 1; H2</t>
  </si>
  <si>
    <t xml:space="preserve">Imports_pct_GDP</t>
  </si>
  <si>
    <t xml:space="preserve">NE.IMP.GNFS.ZS</t>
  </si>
  <si>
    <t xml:space="preserve">Imports of goods and services (% of GDP)</t>
  </si>
  <si>
    <t xml:space="preserve">cross-check</t>
  </si>
  <si>
    <t xml:space="preserve">Trade_pct_GDP</t>
  </si>
  <si>
    <t xml:space="preserve">NE.TRD.GNFS.ZS</t>
  </si>
  <si>
    <t xml:space="preserve">Trade (% of GDP)</t>
  </si>
  <si>
    <t xml:space="preserve">H1; chart 2 (trade openness)</t>
  </si>
  <si>
    <t xml:space="preserve">FDI_inflows_USD</t>
  </si>
  <si>
    <t xml:space="preserve">BX.KLT.DINV.CD.WD</t>
  </si>
  <si>
    <t xml:space="preserve">Foreign direct investment, net inflows (BoP, current US$)</t>
  </si>
  <si>
    <t xml:space="preserve">FDI_pct_GDP</t>
  </si>
  <si>
    <t xml:space="preserve">BX.KLT.DINV.WD.GD.ZS</t>
  </si>
  <si>
    <t xml:space="preserve">Foreign direct investment, net inflows (% of GDP)</t>
  </si>
  <si>
    <t xml:space="preserve">H3; chart 4</t>
  </si>
  <si>
    <t xml:space="preserve">Manufacturing_VA_pct_GDP</t>
  </si>
  <si>
    <t xml:space="preserve">NV.IND.MANF.ZS</t>
  </si>
  <si>
    <t xml:space="preserve">Manufacturing, value added (% of GDP)</t>
  </si>
  <si>
    <t xml:space="preserve">H2</t>
  </si>
  <si>
    <t xml:space="preserve">CurrentAccount_pct_GDP</t>
  </si>
  <si>
    <t xml:space="preserve">BN.CAB.XOKA.GD.ZS</t>
  </si>
  <si>
    <t xml:space="preserve">Current account balance (% of GDP)</t>
  </si>
  <si>
    <t xml:space="preserve">trade balance cross-check</t>
  </si>
  <si>
    <t xml:space="preserve">Optional A</t>
  </si>
  <si>
    <t xml:space="preserve">Merchandise_exports_USD</t>
  </si>
  <si>
    <t xml:space="preserve">TX.VAL.MRCH.CD.WT</t>
  </si>
  <si>
    <t xml:space="preserve">Merchandise exports (current US$)</t>
  </si>
  <si>
    <t xml:space="preserve">tests H2 more directly</t>
  </si>
  <si>
    <t xml:space="preserve">Optional B</t>
  </si>
  <si>
    <t xml:space="preserve">Codes in column C drive the lookups in 03_CLEAN_DATA. All 14 codes and names were matched against the Series metadata file (see Phase 3 log).</t>
  </si>
  <si>
    <t xml:space="preserve">Country Name</t>
  </si>
  <si>
    <t xml:space="preserve">Country Code</t>
  </si>
  <si>
    <t xml:space="preserve">Series Name</t>
  </si>
  <si>
    <t xml:space="preserve">Series Code</t>
  </si>
  <si>
    <t xml:space="preserve">2009 [YR2009]</t>
  </si>
  <si>
    <t xml:space="preserve">2010 [YR2010]</t>
  </si>
  <si>
    <t xml:space="preserve">2011 [YR2011]</t>
  </si>
  <si>
    <t xml:space="preserve">2012 [YR2012]</t>
  </si>
  <si>
    <t xml:space="preserve">2013 [YR2013]</t>
  </si>
  <si>
    <t xml:space="preserve">2014 [YR2014]</t>
  </si>
  <si>
    <t xml:space="preserve">2015 [YR2015]</t>
  </si>
  <si>
    <t xml:space="preserve">2016 [YR2016]</t>
  </si>
  <si>
    <t xml:space="preserve">2017 [YR2017]</t>
  </si>
  <si>
    <t xml:space="preserve">2018 [YR2018]</t>
  </si>
  <si>
    <t xml:space="preserve">2019 [YR2019]</t>
  </si>
  <si>
    <t xml:space="preserve">2020 [YR2020]</t>
  </si>
  <si>
    <t xml:space="preserve">2021 [YR2021]</t>
  </si>
  <si>
    <t xml:space="preserve">2022 [YR2022]</t>
  </si>
  <si>
    <t xml:space="preserve">2023 [YR2023]</t>
  </si>
  <si>
    <t xml:space="preserve">2024 [YR2024]</t>
  </si>
  <si>
    <t xml:space="preserve">2025 [YR2025]</t>
  </si>
  <si>
    <t xml:space="preserve">Hungary</t>
  </si>
  <si>
    <t xml:space="preserve">HUN</t>
  </si>
  <si>
    <t xml:space="preserve">Poland</t>
  </si>
  <si>
    <t xml:space="preserve">POL</t>
  </si>
  <si>
    <t xml:space="preserve">Czechia</t>
  </si>
  <si>
    <t xml:space="preserve">CZE</t>
  </si>
  <si>
    <t xml:space="preserve">Slovak Republic</t>
  </si>
  <si>
    <t xml:space="preserve">SVK</t>
  </si>
  <si>
    <t xml:space="preserve">Data from database: World Development Indicators</t>
  </si>
  <si>
    <t xml:space="preserve">Last Updated: 10/08/2026</t>
  </si>
  <si>
    <t xml:space="preserve">Country</t>
  </si>
  <si>
    <t xml:space="preserve">Code</t>
  </si>
  <si>
    <t xml:space="preserve">Year</t>
  </si>
  <si>
    <t xml:space="preserve">Slovakia</t>
  </si>
  <si>
    <t xml:space="preserve">Export_growth_real_pct</t>
  </si>
  <si>
    <t xml:space="preserve">Trade_balance_pct_GDP</t>
  </si>
  <si>
    <t xml:space="preserve">Trade_openness_calc_pct</t>
  </si>
  <si>
    <t xml:space="preserve">Openness_check_diff (calc - WDI)</t>
  </si>
  <si>
    <t xml:space="preserve">Export_index_2010=100</t>
  </si>
  <si>
    <t xml:space="preserve">Period</t>
  </si>
  <si>
    <t xml:space="preserve">Flag_Export_growth</t>
  </si>
  <si>
    <t xml:space="preserve">Flag_GDP_growth</t>
  </si>
  <si>
    <t xml:space="preserve">Flag_FDI_pct_GDP</t>
  </si>
  <si>
    <t xml:space="preserve">Flag_Manufacturing</t>
  </si>
  <si>
    <t xml:space="preserve">Flag_Trade_balance</t>
  </si>
  <si>
    <t xml:space="preserve">Flag_Trade_openness</t>
  </si>
  <si>
    <t xml:space="preserve">PARAMETERS (blue = input)</t>
  </si>
  <si>
    <t xml:space="preserve">IQR fence multiplier</t>
  </si>
  <si>
    <t xml:space="preserve">Outlier rule: flag if outside pooled Q1-k*IQR / Q3+k*IQR (64 obs) OR |z| &gt; cutoff within country. Flagged, never removed.</t>
  </si>
  <si>
    <t xml:space="preserve">Within-country |z| cutoff</t>
  </si>
  <si>
    <t xml:space="preserve">Index base year</t>
  </si>
  <si>
    <t xml:space="preserve">BASE YEAR 2009 - constant-price exports (US$)</t>
  </si>
  <si>
    <t xml:space="preserve">Exports 2009 (const 2015 US$)</t>
  </si>
  <si>
    <t xml:space="preserve">Used only as the denominator for 2010 export growth; 2009 is not in the analysis window.</t>
  </si>
  <si>
    <t xml:space="preserve">POOLED IQR FENCES (2010-2025, 64 obs)</t>
  </si>
  <si>
    <t xml:space="preserve">Variable</t>
  </si>
  <si>
    <t xml:space="preserve">Q1</t>
  </si>
  <si>
    <t xml:space="preserve">Q3</t>
  </si>
  <si>
    <t xml:space="preserve">Lower fence</t>
  </si>
  <si>
    <t xml:space="preserve">Upper fence</t>
  </si>
  <si>
    <t xml:space="preserve">Export growth</t>
  </si>
  <si>
    <t xml:space="preserve">GDP growth</t>
  </si>
  <si>
    <t xml:space="preserve">FDI % GDP</t>
  </si>
  <si>
    <t xml:space="preserve">Manufacturing VA % GDP</t>
  </si>
  <si>
    <t xml:space="preserve">Trade balance % GDP</t>
  </si>
  <si>
    <t xml:space="preserve">Trade % GDP</t>
  </si>
  <si>
    <t xml:space="preserve">05_CHARTS - Phase 4: the 8 blueprint charts and their interpretation</t>
  </si>
  <si>
    <t xml:space="preserve">Every chart is a live Excel chart reading 03_CLEAN_DATA / 04_CALCULATIONS (no pasted values). Same colour and marker per country throughout: Hungary red circle, Poland blue square, Czechia green triangle, Slovakia yellow diamond. Interpretation follows the blueprint: Observation -&gt; Explanation -&gt; Implication. Association language only; no causal claims. Figures quoted in the text are from the WDI release in 02_RAW_DATA.</t>
  </si>
  <si>
    <t xml:space="preserve">Chart 1 - Exports of goods and services, % of GDP</t>
  </si>
  <si>
    <t xml:space="preserve">Chart 1. Exports % GDP</t>
  </si>
  <si>
    <t xml:space="preserve">Observation</t>
  </si>
  <si>
    <t xml:space="preserve">Slovakia is the most export-intensive economy: 77% of GDP in 2010, peaking at 99% in 2022 and ending at 85% in 2025. Hungary held 81-87% for most of the 2010s, then fell to 73% by 2025. Czechia rose to 81% in 2014 (its peak) and drifted back to 67%. Poland is the least export-intensive but rose steadily from 40% to 50%, peaking at 62% in 2022. Hungary, Poland and Slovakia peak in 2022; Czechia only shows a small 2022 bump.</t>
  </si>
  <si>
    <t xml:space="preserve">Explanation</t>
  </si>
  <si>
    <t xml:space="preserve">The shared 2022 spike is consistent with a price effect: energy and general inflation raised the value of traded goods faster than GDP. Poland's steady rise is consistent with deeper integration into European supply chains. Hungary's decline since 2022 stands out.</t>
  </si>
  <si>
    <t xml:space="preserve">Economic implication</t>
  </si>
  <si>
    <t xml:space="preserve">This ratio measures trade intensity, not competitiveness. Slovakia is the most exposed to external demand; Poland is catching up from a much larger home market.</t>
  </si>
  <si>
    <t xml:space="preserve">Chart 2 - Trade openness, (exports + imports) % of GDP</t>
  </si>
  <si>
    <t xml:space="preserve">Chart 2. Trade openness (WDI Trade % GDP; recomputed and matched in 04_CALCULATIONS)</t>
  </si>
  <si>
    <t xml:space="preserve">Mean 2010-2025: Slovakia 178.5%, Hungary 161.8%, Czechia 140.4%, Poland 98.4%. Hungary and Slovakia are above Poland in all 16 years, so H1 is supported under the frozen rule. Hungary, Poland and Slovakia peak in 2022 (Slovakia 204%); Czechia's peak was 2014 (156%). Since 2022 Hungary has fallen the most, from 185% to 141%.</t>
  </si>
  <si>
    <t xml:space="preserve">Small economies cannot produce everything at home: they import parts, assemble and re-export, so the same value crosses the border twice. Poland's large domestic market means less activity needs to be traded. The 2022 peak is again consistent with a price effect.</t>
  </si>
  <si>
    <t xml:space="preserve">High openness means deep integration into European value chains but also high exposure to external shocks, especially German demand. Openness above 100% does not mean trade is bigger than the economy: trade is measured in gross value, GDP in value added.</t>
  </si>
  <si>
    <t xml:space="preserve">Chart 3 - Real GDP growth, % (2020 COVID and 2022 energy shock marked on the axis)</t>
  </si>
  <si>
    <t xml:space="preserve">Chart 3. GDP growth</t>
  </si>
  <si>
    <t xml:space="preserve">In 2020 all four contract: Czechia -5.3%, Hungary -4.3%, Slovakia -2.6%, Poland -2.0%. In 2021 all rebound (Hungary 7.2%, Poland 6.9%). After 2022 growth slows sharply: in 2023 Hungary is slightly negative (-0.8%) and Czechia and Poland are near zero. Hungary and Czechia also dipped in 2012-13 (euro-area debt crisis). Poland's only negative year is 2020, and it leads in 2025 at 3.6%.</t>
  </si>
  <si>
    <t xml:space="preserve">The most open economies move with European, especially German, demand, so they swing harder. After 2022, high energy prices and high interest rates weighed most on energy-intensive, trade-dependent economies.</t>
  </si>
  <si>
    <t xml:space="preserve">Links to Chart 2: openness brings growth in good years and volatility in bad ones. Poland's large home market appears to act as a buffer.</t>
  </si>
  <si>
    <t xml:space="preserve">Chart 4 - FDI net inflows, % of GDP (Hungary on its own panel)</t>
  </si>
  <si>
    <t xml:space="preserve">Chart 4. FDI % GDP</t>
  </si>
  <si>
    <t xml:space="preserve">Poland, Czechia and Slovakia mostly sit between 0% and 6% of GDP. Czechia is the steadiest (mostly 3-5%); Poland peaks at 6.0% in 2022; Slovakia moves more and dips slightly negative in 2014 and 2020. Hungary is on a different scale: +54% (2016), -40% (2018), +106% (2020), and -28% to -33% in 2023-2025. 12 of Hungary's 16 years are flagged as outliers in 04_CALCULATIONS.</t>
  </si>
  <si>
    <t xml:space="preserve">Swings of this size cannot be factories being built and torn down. They are consistent with pass-through capital: holding companies, special-purpose entities and intra-group transfers recorded in the balance of payments.</t>
  </si>
  <si>
    <t xml:space="preserve">For POL, CZE and SVK, FDI is a stable, modest inflow consistent with value-chain integration. For Hungary the indicator cannot be taken at face value, which is why the pooled H3 test is dominated by Hungary (see Chart 7).</t>
  </si>
  <si>
    <t xml:space="preserve">Design note</t>
  </si>
  <si>
    <t xml:space="preserve">Hungary is shown on a separate panel with its own scale; on a shared axis it flattens the other three countries.</t>
  </si>
  <si>
    <t xml:space="preserve">Chart 5 - Trade balance, (exports - imports) % of GDP</t>
  </si>
  <si>
    <t xml:space="preserve">Chart 5. Trade balance % GDP (calculated in 04_CALCULATIONS)</t>
  </si>
  <si>
    <t xml:space="preserve">Czechia is the most consistent surplus country, mostly 4-8% of GDP, but the surplus almost vanished in 2022 (0.8%). Hungary ran surpluses of about 2-8% in 2010-2020, slipped into a small deficit in 2021 (-0.4%) and a deficit of -5.3% in 2022. Poland moved from a deficit of -2.4% in 2010 to steady surpluses (5.6% in 2020, 5.7% in 2023). Slovakia stays close to zero, peaks near 5% in 2012-13, and records the sample's worst deficit in 2022 (-5.9%). Hungary and Czechia recovered in 2023; Slovakia is still around zero.</t>
  </si>
  <si>
    <t xml:space="preserve">2022 is the clear break. All four import nearly all their oil and gas; when energy prices jumped, the import bill rose faster than exports. Hungary and Slovakia, the most dependent on Russian gas, were hit hardest. The current-account series (06_SUMMARY) shows the same 2022 dip.</t>
  </si>
  <si>
    <t xml:space="preserve">A surplus signals resilience, but in very open economies the balance can flip quickly with import prices. Poland's move from deficit to surplus is one of the more convincing signs of improved competitiveness in the data.</t>
  </si>
  <si>
    <t xml:space="preserve">Chart 6 - Annual real export growth, % (constant 2015 US$)</t>
  </si>
  <si>
    <t xml:space="preserve">Chart 6. Annual real export growth</t>
  </si>
  <si>
    <t xml:space="preserve">2010 is high everywhere (11% Hungary to 18% Slovakia): the rebound from 2009, tagged 'Rebound'. In 2020 all four fall: Czechia -8.5%, Slovakia -6.4%, Hungary -6.1%, Poland only -1.1%. In 2021 all bounce back (Poland 12.3%). After that paths split: Poland grows 2-7% a year; Hungary has a strong 2022 (10.7%) then stalls and is slightly negative in 2024-25; Slovakia is about zero in 2023-24.</t>
  </si>
  <si>
    <t xml:space="preserve">This chart strips out prices. In real volumes 2022 was not exceptional for Poland, Czechia or Slovakia, which supports reading the 2022 peaks in Charts 1-2 as mostly price inflation. Hungary's recent weakness is consistent with weak German demand and a slowdown in car and battery production, but these data alone cannot show the cause.</t>
  </si>
  <si>
    <t xml:space="preserve">Poland is the most consistent real export performer: its only decline is a mild one in 2020. H4 is supported: every country falls in 2020 and grows in 2021 above its 2010-2019 average.</t>
  </si>
  <si>
    <t xml:space="preserve">Chart 7 - Real export growth vs FDI % of GDP (scatter, same year)</t>
  </si>
  <si>
    <t xml:space="preserve">Correlation, FDI % GDP vs real export growth (live from 06_SUMMARY)</t>
  </si>
  <si>
    <t xml:space="preserve">Pooled, n=64 (frozen H3 test)</t>
  </si>
  <si>
    <t xml:space="preserve">Hungary, n=16</t>
  </si>
  <si>
    <t xml:space="preserve">Poland, n=16</t>
  </si>
  <si>
    <t xml:space="preserve">Czechia, n=16</t>
  </si>
  <si>
    <t xml:space="preserve">Slovakia, n=16</t>
  </si>
  <si>
    <t xml:space="preserve">Pooled excl. Hungary, n=48 (supplementary, added after seeing data)</t>
  </si>
  <si>
    <t xml:space="preserve">Chart 7. Export growth vs FDI</t>
  </si>
  <si>
    <t xml:space="preserve">Pooled correlation is -0.13: essentially no association. Within countries: Poland +0.41, Slovakia +0.35, Czechia +0.10, Hungary -0.28. Excluding Hungary, the pooled figure turns positive at +0.26. Hungary's points spread across -40% to +106% of GDP while the other three bunch near 0-6%.</t>
  </si>
  <si>
    <t xml:space="preserve">Hungary's FDI figures mostly reflect pass-through capital, so they add noise rather than information about real investment. In the other three the weak positive link is consistent with FDI feeding export capacity. These are same-year correlations; a new plant takes years to export, so a same-year link would be weak even if FDI matters.</t>
  </si>
  <si>
    <t xml:space="preserve">H3 is NOT supported under the frozen rule (pooled correlation is negative), and that is the headline. The ex-Hungary check suggests a modest association elsewhere, but with 16 points per country it is suggestive only and was added after seeing the data.</t>
  </si>
  <si>
    <t xml:space="preserve">Chart 8 - Real exports indexed, 2010 = 100 (constant 2015 US$)</t>
  </si>
  <si>
    <t xml:space="preserve">Chart 8. Export index, 2010 = 100</t>
  </si>
  <si>
    <t xml:space="preserve">By 2025 Poland reaches 233: real exports more than doubled (CAGR about 5.8% a year). Slovakia ends at 179, Hungary 176, Czechia 173 (CAGR about 3.7-3.9%). Up to 2019 the four tracked fairly closely (Poland 177). The gap opened mostly after 2019: Poland kept climbing while the others flattened, and Hungary has edged down since 2023 (179 to 176).</t>
  </si>
  <si>
    <t xml:space="preserve">Poland's larger, more diversified economy appears less tied to a single sector, while the other three lean heavily on car production and German demand. The data show the pattern, not the cause: 'consistent with', not 'because of'.</t>
  </si>
  <si>
    <t xml:space="preserve">On real export growth, Poland is the clear leader. Together with its move from trade deficit to surplus (Chart 5) and the steadiest GDP growth (Chart 3), it is the strongest case for the country that strengthened its international competitiveness most. Hungary and Slovakia are the most open, but openness is not the same as growth.</t>
  </si>
  <si>
    <t xml:space="preserve">HELPER DATA FOR CHART 3 (axis labels marking the shock years). Blue = input; black = formula.</t>
  </si>
  <si>
    <t xml:space="preserve">Shock year 1</t>
  </si>
  <si>
    <t xml:space="preserve">COVID</t>
  </si>
  <si>
    <t xml:space="preserve">Shock year 2</t>
  </si>
  <si>
    <t xml:space="preserve">Energy</t>
  </si>
  <si>
    <t xml:space="preserve">Axis label</t>
  </si>
  <si>
    <t xml:space="preserve">06_SUMMARY - data quality, descriptive statistics, correlation, frozen-rule checks</t>
  </si>
  <si>
    <t xml:space="preserve">All figures are live formulas on 03_CLEAN_DATA / 04_CALCULATIONS. Mechanical results only: interpretation is Phase 4. Association language only, no causal claims.</t>
  </si>
  <si>
    <t xml:space="preserve">1. DATA-QUALITY TABLE (analysis window 2010-2025: 4 countries x 16 years = 64 observations per variable)</t>
  </si>
  <si>
    <t xml:space="preserve">Missing values (of 64)</t>
  </si>
  <si>
    <t xml:space="preserve">Missing in raw file (of 68, incl. 2009)</t>
  </si>
  <si>
    <t xml:space="preserve">Available period</t>
  </si>
  <si>
    <t xml:space="preserve">Source (per WDI metadata)</t>
  </si>
  <si>
    <t xml:space="preserve">Missing HUN</t>
  </si>
  <si>
    <t xml:space="preserve">Missing POL</t>
  </si>
  <si>
    <t xml:space="preserve">Missing CZE</t>
  </si>
  <si>
    <t xml:space="preserve">Missing SVK</t>
  </si>
  <si>
    <t xml:space="preserve">Outlier flags (count)</t>
  </si>
  <si>
    <t xml:space="preserve">Notes</t>
  </si>
  <si>
    <t xml:space="preserve">National statistical offices; OECD national accounts; World Bank staff estimates</t>
  </si>
  <si>
    <t xml:space="preserve">not flagged</t>
  </si>
  <si>
    <t xml:space="preserve">Current US$: moves with exchange rates, not only real growth.</t>
  </si>
  <si>
    <t xml:space="preserve">2020 flagged for CZE and HUN (COVID contraction). Kept.</t>
  </si>
  <si>
    <t xml:space="preserve">Current US$ (exchange-rate sensitive). Level series: not flagged.</t>
  </si>
  <si>
    <t xml:space="preserve">National statistical offices; central banks; World Bank staff estimates</t>
  </si>
  <si>
    <t xml:space="preserve">Level series: not flagged (Poland is simply the largest economy).</t>
  </si>
  <si>
    <t xml:space="preserve">Constant 2015 US$ (base year 2015). Source of real export growth, CAGR and index.</t>
  </si>
  <si>
    <t xml:space="preserve">Level series: not flagged (size effect, Poland largest).</t>
  </si>
  <si>
    <t xml:space="preserve">Equals Exports_current_USD / GDP_current_USD x 100 (verified). Trade intensity, not competitiveness.</t>
  </si>
  <si>
    <t xml:space="preserve">Equals Imports_current_USD / GDP_current_USD x 100 (verified).</t>
  </si>
  <si>
    <t xml:space="preserve">Equals Exports % + Imports % (verified, difference ~1e-13).</t>
  </si>
  <si>
    <t xml:space="preserve">IMF Balance of Payments; UNCTAD; official national sources</t>
  </si>
  <si>
    <t xml:space="preserve">Hungary swings between about -US$71bn and +US$167bn: BoP / special-purpose-entity effects. Flagged, kept.</t>
  </si>
  <si>
    <t xml:space="preserve">IMF IFS / Balance of Payments; World Bank and OECD GDP estimates</t>
  </si>
  <si>
    <t xml:space="preserve">Hungary ranges from about -40% to +106% of GDP. Dominates any pooled FDI result. Flagged, kept; see sensitivity in section 6.</t>
  </si>
  <si>
    <t xml:space="preserve">CZE 2015-2016 flagged on pooled IQR (highest manufacturing share). Kept.</t>
  </si>
  <si>
    <t xml:space="preserve">IMF Balance of Payments Statistics; World Bank; OECD</t>
  </si>
  <si>
    <t xml:space="preserve">Not flagged by the workbook rule. HUN and SVK 2022 are the weakest years (about -8.8% and -9.6% of GDP).</t>
  </si>
  <si>
    <t xml:space="preserve">World Trade Organization (WTO)</t>
  </si>
  <si>
    <t xml:space="preserve">WTO basis. Exceeds total goods-and-services exports for Czechia in 14 of 16 years (compilation basis differs from national accounts; cause not verified). Do not express as a share of total exports.</t>
  </si>
  <si>
    <t xml:space="preserve">TOTAL</t>
  </si>
  <si>
    <t xml:space="preserve">Derived series flagged (04_CALCULATIONS):</t>
  </si>
  <si>
    <t xml:space="preserve">&lt;- counts of flagged observations. All four 2010 export-growth values are tagged 'Rebound' (post-2009 recovery, per Design Lock) in 04_CALCULATIONS column J, in addition to statistical flags.</t>
  </si>
  <si>
    <t xml:space="preserve">2. INTEGRITY CHECKS</t>
  </si>
  <si>
    <t xml:space="preserve">Check</t>
  </si>
  <si>
    <t xml:space="preserve">Result</t>
  </si>
  <si>
    <t xml:space="preserve">Expected</t>
  </si>
  <si>
    <t xml:space="preserve">Status</t>
  </si>
  <si>
    <t xml:space="preserve">Observations in clean sheet</t>
  </si>
  <si>
    <t xml:space="preserve">Duplicate country-year keys</t>
  </si>
  <si>
    <t xml:space="preserve">Max |Exports % GDP: computed - WDI|</t>
  </si>
  <si>
    <t xml:space="preserve">Max |Imports % GDP: computed - WDI|</t>
  </si>
  <si>
    <t xml:space="preserve">Max |Trade openness: computed - WDI|</t>
  </si>
  <si>
    <t xml:space="preserve">Max |Trade % - (Exports % + Imports %)|</t>
  </si>
  <si>
    <t xml:space="preserve">Max |FDI % GDP: computed - WDI|</t>
  </si>
  <si>
    <t xml:space="preserve">Obs where Merchandise exports &gt; total G&amp;S exports</t>
  </si>
  <si>
    <t xml:space="preserve">Total missing values (analysis window)</t>
  </si>
  <si>
    <t xml:space="preserve">3. DESCRIPTIVE STATISTICS PER COUNTRY (2010-2025). Mean shown next to median; nothing dropped.</t>
  </si>
  <si>
    <t xml:space="preserve">Mean</t>
  </si>
  <si>
    <t xml:space="preserve">Median</t>
  </si>
  <si>
    <t xml:space="preserve">Min</t>
  </si>
  <si>
    <t xml:space="preserve">Max</t>
  </si>
  <si>
    <t xml:space="preserve">St. dev.</t>
  </si>
  <si>
    <t xml:space="preserve">2010 value</t>
  </si>
  <si>
    <t xml:space="preserve">Latest (2025)</t>
  </si>
  <si>
    <t xml:space="preserve">Change, latest - 2010 (own units / pp)</t>
  </si>
  <si>
    <t xml:space="preserve">% change (level/ratio series only)</t>
  </si>
  <si>
    <t xml:space="preserve">Exports % GDP</t>
  </si>
  <si>
    <t xml:space="preserve">Trade % GDP (openness)</t>
  </si>
  <si>
    <t xml:space="preserve">GDP growth %</t>
  </si>
  <si>
    <t xml:space="preserve">n/a</t>
  </si>
  <si>
    <t xml:space="preserve">Export growth, real %</t>
  </si>
  <si>
    <t xml:space="preserve">FDI net inflows % GDP</t>
  </si>
  <si>
    <t xml:space="preserve">Current account % GDP</t>
  </si>
  <si>
    <t xml:space="preserve">GDP per capita, current US$</t>
  </si>
  <si>
    <t xml:space="preserve">Notes: 'Change' is in percentage points for ratio/growth series. Export growth '2010 value' is the rebound from the 2009 crisis (tagged Rebound). '% change' is shown only where it is meaningful.</t>
  </si>
  <si>
    <t xml:space="preserve">4. EXPORTS (CONSTANT 2015 US$): CAGR = (End/Begin)^(1/n) - 1</t>
  </si>
  <si>
    <t xml:space="preserve">Years (input):</t>
  </si>
  <si>
    <t xml:space="preserve">Exports in year 1</t>
  </si>
  <si>
    <t xml:space="preserve">Exports in year 2</t>
  </si>
  <si>
    <t xml:space="preserve">Exports in year 3</t>
  </si>
  <si>
    <t xml:space="preserve">CAGR yr1-yr3 (full window)</t>
  </si>
  <si>
    <t xml:space="preserve">CAGR yr1-yr2 (pre-COVID)</t>
  </si>
  <si>
    <t xml:space="preserve">CAGR yr2-yr3 (2019 onward)</t>
  </si>
  <si>
    <t xml:space="preserve">Index in year 3 (2010=100)</t>
  </si>
  <si>
    <t xml:space="preserve">Caveat: the 2010 start year follows the 2009 crisis trough, so growth from 2010 includes rebound. CAGR is a single-number summary and hides the path.</t>
  </si>
  <si>
    <t xml:space="preserve">5. PERIOD AVERAGES AND MEDIANS (pre-COVID 2010-2019 | COVID 2020-2021 | post-COVID 2022-2025)</t>
  </si>
  <si>
    <t xml:space="preserve">Pre-COVID mean</t>
  </si>
  <si>
    <t xml:space="preserve">Pre-COVID median</t>
  </si>
  <si>
    <t xml:space="preserve">COVID mean</t>
  </si>
  <si>
    <t xml:space="preserve">COVID median</t>
  </si>
  <si>
    <t xml:space="preserve">Post-COVID mean</t>
  </si>
  <si>
    <t xml:space="preserve">Post-COVID median</t>
  </si>
  <si>
    <t xml:space="preserve">Pre-COVID mean excl. 2010 (sensitivity)</t>
  </si>
  <si>
    <t xml:space="preserve">COVID period has only 2 observations per country: the 'median' equals the mean. Treat period comparisons as descriptive.</t>
  </si>
  <si>
    <t xml:space="preserve">6. CORRELATION (Pearson). Pooled = 64 country-year obs (not independent); within-country n = 16. Suggestive only.</t>
  </si>
  <si>
    <t xml:space="preserve">Pair</t>
  </si>
  <si>
    <t xml:space="preserve">Variable X</t>
  </si>
  <si>
    <t xml:space="preserve">Variable Y</t>
  </si>
  <si>
    <t xml:space="preserve">Pooled (n=64)</t>
  </si>
  <si>
    <t xml:space="preserve">HUN (n=16)</t>
  </si>
  <si>
    <t xml:space="preserve">POL (n=16)</t>
  </si>
  <si>
    <t xml:space="preserve">CZE (n=16)</t>
  </si>
  <si>
    <t xml:space="preserve">SVK (n=16)</t>
  </si>
  <si>
    <t xml:space="preserve">Sensitivity: pooled excl. HUN (n=48)</t>
  </si>
  <si>
    <t xml:space="preserve">EG vs FDI</t>
  </si>
  <si>
    <t xml:space="preserve">Export growth (real %)</t>
  </si>
  <si>
    <t xml:space="preserve">EG vs GDP</t>
  </si>
  <si>
    <t xml:space="preserve">EG vs TRD</t>
  </si>
  <si>
    <t xml:space="preserve">Trade openness (Trade % GDP)</t>
  </si>
  <si>
    <t xml:space="preserve">EG vs MAN</t>
  </si>
  <si>
    <t xml:space="preserve">EG vs EXP</t>
  </si>
  <si>
    <t xml:space="preserve">Exports % GDP (added: needed by frozen H2 rule)</t>
  </si>
  <si>
    <t xml:space="preserve">FDI vs GDP</t>
  </si>
  <si>
    <t xml:space="preserve">FDI vs TRD</t>
  </si>
  <si>
    <t xml:space="preserve">FDI vs MAN</t>
  </si>
  <si>
    <t xml:space="preserve">FDI vs EXP</t>
  </si>
  <si>
    <t xml:space="preserve">GDP vs TRD</t>
  </si>
  <si>
    <t xml:space="preserve">GDP vs MAN</t>
  </si>
  <si>
    <t xml:space="preserve">GDP vs EXP</t>
  </si>
  <si>
    <t xml:space="preserve">TRD vs MAN</t>
  </si>
  <si>
    <t xml:space="preserve">TRD vs EXP</t>
  </si>
  <si>
    <t xml:space="preserve">MAN vs EXP</t>
  </si>
  <si>
    <t xml:space="preserve">Rows 18-65 of the clean sheet = POL, CZE, SVK (HUN is the first country block). HUN FDI is extreme, so the ex-HUN column is a robustness check only; it does not replace the frozen pooled test.</t>
  </si>
  <si>
    <t xml:space="preserve">7. FROZEN HYPOTHESIS RULES (Phase1_Design_Lock.md, section 3) - MECHANICAL CHECK, NO INTERPRETATION</t>
  </si>
  <si>
    <t xml:space="preserve">Thresholds (inputs from the frozen rules):</t>
  </si>
  <si>
    <t xml:space="preserve">H1: minimum years above POL (of 16)</t>
  </si>
  <si>
    <t xml:space="preserve">H2: minimum pooled correlation</t>
  </si>
  <si>
    <t xml:space="preserve">H3: minimum countries with positive within-country correlation (of 4)</t>
  </si>
  <si>
    <t xml:space="preserve">H4: COVID year / recovery year</t>
  </si>
  <si>
    <t xml:space="preserve">H1 - Smaller economies (HUN, SVK) have higher trade-to-GDP than POL</t>
  </si>
  <si>
    <t xml:space="preserve">Measure</t>
  </si>
  <si>
    <t xml:space="preserve">CZE (extra, not in test)</t>
  </si>
  <si>
    <t xml:space="preserve">Mean Trade % GDP 2010-2025</t>
  </si>
  <si>
    <t xml:space="preserve">Years above POL (of 16)</t>
  </si>
  <si>
    <t xml:space="preserve">H1 result (HUN and SVK)</t>
  </si>
  <si>
    <t xml:space="preserve">H2 - Manufacturing-intensive economies show stronger export performance</t>
  </si>
  <si>
    <t xml:space="preserve">Mean Manufacturing VA % GDP</t>
  </si>
  <si>
    <t xml:space="preserve">Mean Exports % GDP</t>
  </si>
  <si>
    <t xml:space="preserve">Rank by manufacturing (1 = highest)</t>
  </si>
  <si>
    <t xml:space="preserve">Rank by exports % GDP (1 = highest)</t>
  </si>
  <si>
    <t xml:space="preserve">Pooled correlation: manufacturing vs exports % GDP</t>
  </si>
  <si>
    <t xml:space="preserve">Rankings identical?</t>
  </si>
  <si>
    <t xml:space="preserve">H2 result</t>
  </si>
  <si>
    <t xml:space="preserve">H3 - Higher FDI inflows associated with stronger export performance (same year, no lag)</t>
  </si>
  <si>
    <t xml:space="preserve">Pooled</t>
  </si>
  <si>
    <t xml:space="preserve">Correlation: FDI % GDP vs export growth</t>
  </si>
  <si>
    <t xml:space="preserve">Countries with positive within-country correlation (of 4)</t>
  </si>
  <si>
    <t xml:space="preserve">Supplementary (not part of the frozen test): pooled excl. HUN</t>
  </si>
  <si>
    <t xml:space="preserve">H3 result</t>
  </si>
  <si>
    <t xml:space="preserve">H4 - COVID-19 disruption followed by recovery (export growth, constant prices)</t>
  </si>
  <si>
    <t xml:space="preserve">Export growth in COVID year (2020), %</t>
  </si>
  <si>
    <t xml:space="preserve">Export growth in recovery year (2021), %</t>
  </si>
  <si>
    <t xml:space="preserve">Mean export growth 2010-2019 (incl. 2010 rebound, as frozen), %</t>
  </si>
  <si>
    <t xml:space="preserve">2020 negative?</t>
  </si>
  <si>
    <t xml:space="preserve">2021 positive and above 2010-2019 mean?</t>
  </si>
  <si>
    <t xml:space="preserve">H4 result</t>
  </si>
  <si>
    <t xml:space="preserve">RULE RESULTS AT A GLANCE</t>
  </si>
  <si>
    <t xml:space="preserve">H1</t>
  </si>
  <si>
    <t xml:space="preserve">H3</t>
  </si>
  <si>
    <t xml:space="preserve">H4</t>
  </si>
  <si>
    <t xml:space="preserve">These verdicts apply the pre-registered rules mechanically. They say nothing about causation; explanation and caveats come in Phase 4.</t>
  </si>
</sst>
</file>

<file path=xl/styles.xml><?xml version="1.0" encoding="utf-8"?>
<styleSheet xmlns="http://schemas.openxmlformats.org/spreadsheetml/2006/main">
  <numFmts count="9">
    <numFmt numFmtId="164" formatCode="General"/>
    <numFmt numFmtId="165" formatCode="#,##0"/>
    <numFmt numFmtId="166" formatCode="0.00"/>
    <numFmt numFmtId="167" formatCode="0.0000000000"/>
    <numFmt numFmtId="168" formatCode="0.0"/>
    <numFmt numFmtId="169" formatCode="0"/>
    <numFmt numFmtId="170" formatCode="0.000000000000"/>
    <numFmt numFmtId="171" formatCode="0.0%"/>
    <numFmt numFmtId="172" formatCode="0.0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color rgb="FF000000"/>
      <name val="Arial"/>
      <family val="0"/>
      <charset val="1"/>
    </font>
    <font>
      <b val="true"/>
      <sz val="11"/>
      <color rgb="FF1F3864"/>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2"/>
      <color rgb="FF1F3864"/>
      <name val="Arial"/>
      <family val="0"/>
      <charset val="1"/>
    </font>
    <font>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300"/>
      <rgbColor rgb="FFBFBFBF"/>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EDA100"/>
      <rgbColor rgb="FFE34948"/>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Exports, % of GDP</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03_CLEAN_DATA!$J$2:$J$17</c:f>
              <c:numCache>
                <c:formatCode>0.00</c:formatCode>
                <c:ptCount val="16"/>
                <c:pt idx="0">
                  <c:v>81.2535035455015</c:v>
                </c:pt>
                <c:pt idx="1">
                  <c:v>86.1931503181868</c:v>
                </c:pt>
                <c:pt idx="2">
                  <c:v>86.0876097061215</c:v>
                </c:pt>
                <c:pt idx="3">
                  <c:v>85.3937852070622</c:v>
                </c:pt>
                <c:pt idx="4">
                  <c:v>87.0271641102673</c:v>
                </c:pt>
                <c:pt idx="5">
                  <c:v>87.4348841373907</c:v>
                </c:pt>
                <c:pt idx="6">
                  <c:v>86.1114634598119</c:v>
                </c:pt>
                <c:pt idx="7">
                  <c:v>85.7461533449483</c:v>
                </c:pt>
                <c:pt idx="8">
                  <c:v>83.3967795001256</c:v>
                </c:pt>
                <c:pt idx="9">
                  <c:v>81.065700696964</c:v>
                </c:pt>
                <c:pt idx="10">
                  <c:v>78.0879317443048</c:v>
                </c:pt>
                <c:pt idx="11">
                  <c:v>79.4114343821378</c:v>
                </c:pt>
                <c:pt idx="12">
                  <c:v>89.810135261602</c:v>
                </c:pt>
                <c:pt idx="13">
                  <c:v>81.3874893501556</c:v>
                </c:pt>
                <c:pt idx="14">
                  <c:v>76.1979120113902</c:v>
                </c:pt>
                <c:pt idx="15">
                  <c:v>72.6304321068483</c:v>
                </c:pt>
              </c:numCache>
            </c:numRef>
          </c:val>
          <c:smooth val="0"/>
        </c:ser>
        <c:ser>
          <c:idx val="1"/>
          <c:order val="1"/>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03_CLEAN_DATA!$J$18:$J$33</c:f>
              <c:numCache>
                <c:formatCode>0.00</c:formatCode>
                <c:ptCount val="16"/>
                <c:pt idx="0">
                  <c:v>39.8922068463219</c:v>
                </c:pt>
                <c:pt idx="1">
                  <c:v>42.31819097341</c:v>
                </c:pt>
                <c:pt idx="2">
                  <c:v>44.0229016385965</c:v>
                </c:pt>
                <c:pt idx="3">
                  <c:v>45.7672881629144</c:v>
                </c:pt>
                <c:pt idx="4">
                  <c:v>46.2206720325579</c:v>
                </c:pt>
                <c:pt idx="5">
                  <c:v>47.1616367257527</c:v>
                </c:pt>
                <c:pt idx="6">
                  <c:v>49.906428862355</c:v>
                </c:pt>
                <c:pt idx="7">
                  <c:v>51.6925275786294</c:v>
                </c:pt>
                <c:pt idx="8">
                  <c:v>52.232575443975</c:v>
                </c:pt>
                <c:pt idx="9">
                  <c:v>52.6128934811742</c:v>
                </c:pt>
                <c:pt idx="10">
                  <c:v>52.4338855199248</c:v>
                </c:pt>
                <c:pt idx="11">
                  <c:v>57.0379760723016</c:v>
                </c:pt>
                <c:pt idx="12">
                  <c:v>62.3525162455456</c:v>
                </c:pt>
                <c:pt idx="13">
                  <c:v>57.8812710195434</c:v>
                </c:pt>
                <c:pt idx="14">
                  <c:v>52.1798133919011</c:v>
                </c:pt>
                <c:pt idx="15">
                  <c:v>49.9505650987029</c:v>
                </c:pt>
              </c:numCache>
            </c:numRef>
          </c:val>
          <c:smooth val="0"/>
        </c:ser>
        <c:ser>
          <c:idx val="2"/>
          <c:order val="2"/>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03_CLEAN_DATA!$J$34:$J$49</c:f>
              <c:numCache>
                <c:formatCode>0.00</c:formatCode>
                <c:ptCount val="16"/>
                <c:pt idx="0">
                  <c:v>64.8915980155479</c:v>
                </c:pt>
                <c:pt idx="1">
                  <c:v>70.2506376126123</c:v>
                </c:pt>
                <c:pt idx="2">
                  <c:v>75.1048104767256</c:v>
                </c:pt>
                <c:pt idx="3">
                  <c:v>75.5803954463061</c:v>
                </c:pt>
                <c:pt idx="4">
                  <c:v>81.3510352122697</c:v>
                </c:pt>
                <c:pt idx="5">
                  <c:v>80.0125671431762</c:v>
                </c:pt>
                <c:pt idx="6">
                  <c:v>78.108333006403</c:v>
                </c:pt>
                <c:pt idx="7">
                  <c:v>77.6844326231276</c:v>
                </c:pt>
                <c:pt idx="8">
                  <c:v>75.6097814865591</c:v>
                </c:pt>
                <c:pt idx="9">
                  <c:v>72.1248511386482</c:v>
                </c:pt>
                <c:pt idx="10">
                  <c:v>67.7609732344735</c:v>
                </c:pt>
                <c:pt idx="11">
                  <c:v>70.550045142844</c:v>
                </c:pt>
                <c:pt idx="12">
                  <c:v>72.4094281428088</c:v>
                </c:pt>
                <c:pt idx="13">
                  <c:v>68.4031069284452</c:v>
                </c:pt>
                <c:pt idx="14">
                  <c:v>68.8585282145125</c:v>
                </c:pt>
                <c:pt idx="15">
                  <c:v>66.9450959346234</c:v>
                </c:pt>
              </c:numCache>
            </c:numRef>
          </c:val>
          <c:smooth val="0"/>
        </c:ser>
        <c:ser>
          <c:idx val="3"/>
          <c:order val="3"/>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03_CLEAN_DATA!$J$50:$J$65</c:f>
              <c:numCache>
                <c:formatCode>0.00</c:formatCode>
                <c:ptCount val="16"/>
                <c:pt idx="0">
                  <c:v>77.0810820862371</c:v>
                </c:pt>
                <c:pt idx="1">
                  <c:v>84.6330521239054</c:v>
                </c:pt>
                <c:pt idx="2">
                  <c:v>90.908862673381</c:v>
                </c:pt>
                <c:pt idx="3">
                  <c:v>92.8790222418488</c:v>
                </c:pt>
                <c:pt idx="4">
                  <c:v>90.4400089861459</c:v>
                </c:pt>
                <c:pt idx="5">
                  <c:v>90.6938496191421</c:v>
                </c:pt>
                <c:pt idx="6">
                  <c:v>92.3116870095116</c:v>
                </c:pt>
                <c:pt idx="7">
                  <c:v>93.9524168738907</c:v>
                </c:pt>
                <c:pt idx="8">
                  <c:v>94.9268326476368</c:v>
                </c:pt>
                <c:pt idx="9">
                  <c:v>91.8440865121276</c:v>
                </c:pt>
                <c:pt idx="10">
                  <c:v>84.2983434485345</c:v>
                </c:pt>
                <c:pt idx="11">
                  <c:v>90.7618617591412</c:v>
                </c:pt>
                <c:pt idx="12">
                  <c:v>99.0674933921507</c:v>
                </c:pt>
                <c:pt idx="13">
                  <c:v>91.4935561325084</c:v>
                </c:pt>
                <c:pt idx="14">
                  <c:v>85.4834989561279</c:v>
                </c:pt>
                <c:pt idx="15">
                  <c:v>85.0946294110273</c:v>
                </c:pt>
              </c:numCache>
            </c:numRef>
          </c:val>
          <c:smooth val="0"/>
        </c:ser>
        <c:hiLowLines>
          <c:spPr>
            <a:ln w="0">
              <a:noFill/>
            </a:ln>
          </c:spPr>
        </c:hiLowLines>
        <c:marker val="1"/>
        <c:axId val="44670782"/>
        <c:axId val="55222023"/>
      </c:lineChart>
      <c:catAx>
        <c:axId val="446707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5222023"/>
        <c:crosses val="autoZero"/>
        <c:auto val="1"/>
        <c:lblAlgn val="ctr"/>
        <c:lblOffset val="100"/>
        <c:noMultiLvlLbl val="0"/>
      </c:catAx>
      <c:valAx>
        <c:axId val="55222023"/>
        <c:scaling>
          <c:orientation val="minMax"/>
          <c:max val="110"/>
          <c:min val="3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7078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Trade openness, % of GDP</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03_CLEAN_DATA!$L$2:$L$17</c:f>
              <c:numCache>
                <c:formatCode>0.00</c:formatCode>
                <c:ptCount val="16"/>
                <c:pt idx="0">
                  <c:v>157.838960085896</c:v>
                </c:pt>
                <c:pt idx="1">
                  <c:v>166.754347209897</c:v>
                </c:pt>
                <c:pt idx="2">
                  <c:v>166.17569860957</c:v>
                </c:pt>
                <c:pt idx="3">
                  <c:v>164.476024791467</c:v>
                </c:pt>
                <c:pt idx="4">
                  <c:v>168.358355086413</c:v>
                </c:pt>
                <c:pt idx="5">
                  <c:v>167.290738494524</c:v>
                </c:pt>
                <c:pt idx="6">
                  <c:v>163.97194450015</c:v>
                </c:pt>
                <c:pt idx="7">
                  <c:v>165.032855840268</c:v>
                </c:pt>
                <c:pt idx="8">
                  <c:v>162.700858777925</c:v>
                </c:pt>
                <c:pt idx="9">
                  <c:v>159.925556464831</c:v>
                </c:pt>
                <c:pt idx="10">
                  <c:v>154.527002936377</c:v>
                </c:pt>
                <c:pt idx="11">
                  <c:v>159.187527332834</c:v>
                </c:pt>
                <c:pt idx="12">
                  <c:v>184.969952581351</c:v>
                </c:pt>
                <c:pt idx="13">
                  <c:v>158.618825607913</c:v>
                </c:pt>
                <c:pt idx="14">
                  <c:v>147.926666538068</c:v>
                </c:pt>
                <c:pt idx="15">
                  <c:v>140.779303903333</c:v>
                </c:pt>
              </c:numCache>
            </c:numRef>
          </c:val>
          <c:smooth val="0"/>
        </c:ser>
        <c:ser>
          <c:idx val="1"/>
          <c:order val="1"/>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03_CLEAN_DATA!$L$18:$L$33</c:f>
              <c:numCache>
                <c:formatCode>0.00</c:formatCode>
                <c:ptCount val="16"/>
                <c:pt idx="0">
                  <c:v>82.2258523219922</c:v>
                </c:pt>
                <c:pt idx="1">
                  <c:v>86.9236892837618</c:v>
                </c:pt>
                <c:pt idx="2">
                  <c:v>88.8299033066583</c:v>
                </c:pt>
                <c:pt idx="3">
                  <c:v>90.4175072415629</c:v>
                </c:pt>
                <c:pt idx="4">
                  <c:v>92.0340197113178</c:v>
                </c:pt>
                <c:pt idx="5">
                  <c:v>92.2554272741942</c:v>
                </c:pt>
                <c:pt idx="6">
                  <c:v>96.8659028060623</c:v>
                </c:pt>
                <c:pt idx="7">
                  <c:v>100.56589524628</c:v>
                </c:pt>
                <c:pt idx="8">
                  <c:v>102.442462168005</c:v>
                </c:pt>
                <c:pt idx="9">
                  <c:v>101.581033817373</c:v>
                </c:pt>
                <c:pt idx="10">
                  <c:v>99.2590912303436</c:v>
                </c:pt>
                <c:pt idx="11">
                  <c:v>110.874283021945</c:v>
                </c:pt>
                <c:pt idx="12">
                  <c:v>123.021332860345</c:v>
                </c:pt>
                <c:pt idx="13">
                  <c:v>110.024935041815</c:v>
                </c:pt>
                <c:pt idx="14">
                  <c:v>100.359442847164</c:v>
                </c:pt>
                <c:pt idx="15">
                  <c:v>97.0301822542829</c:v>
                </c:pt>
              </c:numCache>
            </c:numRef>
          </c:val>
          <c:smooth val="0"/>
        </c:ser>
        <c:ser>
          <c:idx val="2"/>
          <c:order val="2"/>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03_CLEAN_DATA!$L$34:$L$49</c:f>
              <c:numCache>
                <c:formatCode>0.00</c:formatCode>
                <c:ptCount val="16"/>
                <c:pt idx="0">
                  <c:v>126.756480116798</c:v>
                </c:pt>
                <c:pt idx="1">
                  <c:v>136.750855542438</c:v>
                </c:pt>
                <c:pt idx="2">
                  <c:v>145.480195396935</c:v>
                </c:pt>
                <c:pt idx="3">
                  <c:v>145.502230624961</c:v>
                </c:pt>
                <c:pt idx="4">
                  <c:v>156.415122826886</c:v>
                </c:pt>
                <c:pt idx="5">
                  <c:v>154.018400997633</c:v>
                </c:pt>
                <c:pt idx="6">
                  <c:v>148.547004664435</c:v>
                </c:pt>
                <c:pt idx="7">
                  <c:v>147.750834854762</c:v>
                </c:pt>
                <c:pt idx="8">
                  <c:v>145.141717890789</c:v>
                </c:pt>
                <c:pt idx="9">
                  <c:v>138.154609993871</c:v>
                </c:pt>
                <c:pt idx="10">
                  <c:v>128.780430305965</c:v>
                </c:pt>
                <c:pt idx="11">
                  <c:v>137.378116302868</c:v>
                </c:pt>
                <c:pt idx="12">
                  <c:v>144.011494109397</c:v>
                </c:pt>
                <c:pt idx="13">
                  <c:v>131.892598295876</c:v>
                </c:pt>
                <c:pt idx="14">
                  <c:v>131.466608125579</c:v>
                </c:pt>
                <c:pt idx="15">
                  <c:v>128.039437374276</c:v>
                </c:pt>
              </c:numCache>
            </c:numRef>
          </c:val>
          <c:smooth val="0"/>
        </c:ser>
        <c:ser>
          <c:idx val="3"/>
          <c:order val="3"/>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03_CLEAN_DATA!$L$50:$L$65</c:f>
              <c:numCache>
                <c:formatCode>0.00</c:formatCode>
                <c:ptCount val="16"/>
                <c:pt idx="0">
                  <c:v>155.108497681586</c:v>
                </c:pt>
                <c:pt idx="1">
                  <c:v>169.178076311066</c:v>
                </c:pt>
                <c:pt idx="2">
                  <c:v>176.968958181431</c:v>
                </c:pt>
                <c:pt idx="3">
                  <c:v>180.903136491458</c:v>
                </c:pt>
                <c:pt idx="4">
                  <c:v>176.756316098132</c:v>
                </c:pt>
                <c:pt idx="5">
                  <c:v>179.42602289503</c:v>
                </c:pt>
                <c:pt idx="6">
                  <c:v>182.757379596201</c:v>
                </c:pt>
                <c:pt idx="7">
                  <c:v>186.644687399549</c:v>
                </c:pt>
                <c:pt idx="8">
                  <c:v>188.732964699496</c:v>
                </c:pt>
                <c:pt idx="9">
                  <c:v>183.722608631236</c:v>
                </c:pt>
                <c:pt idx="10">
                  <c:v>167.534173320366</c:v>
                </c:pt>
                <c:pt idx="11">
                  <c:v>181.97948448512</c:v>
                </c:pt>
                <c:pt idx="12">
                  <c:v>204.056318531151</c:v>
                </c:pt>
                <c:pt idx="13">
                  <c:v>181.39087235645</c:v>
                </c:pt>
                <c:pt idx="14">
                  <c:v>171.212800151635</c:v>
                </c:pt>
                <c:pt idx="15">
                  <c:v>170.342496403331</c:v>
                </c:pt>
              </c:numCache>
            </c:numRef>
          </c:val>
          <c:smooth val="0"/>
        </c:ser>
        <c:hiLowLines>
          <c:spPr>
            <a:ln w="0">
              <a:noFill/>
            </a:ln>
          </c:spPr>
        </c:hiLowLines>
        <c:marker val="1"/>
        <c:axId val="96146984"/>
        <c:axId val="13910157"/>
      </c:lineChart>
      <c:catAx>
        <c:axId val="9614698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3910157"/>
        <c:crosses val="autoZero"/>
        <c:auto val="1"/>
        <c:lblAlgn val="ctr"/>
        <c:lblOffset val="100"/>
        <c:noMultiLvlLbl val="0"/>
      </c:catAx>
      <c:valAx>
        <c:axId val="13910157"/>
        <c:scaling>
          <c:orientation val="minMax"/>
          <c:max val="220"/>
          <c:min val="6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14698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growth, % (shock years marked)</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05_CHARTS!$A$321:$A$336</c:f>
              <c:strCache>
                <c:ptCount val="16"/>
                <c:pt idx="0">
                  <c:v>2010</c:v>
                </c:pt>
                <c:pt idx="1">
                  <c:v>2011</c:v>
                </c:pt>
                <c:pt idx="2">
                  <c:v>2012</c:v>
                </c:pt>
                <c:pt idx="3">
                  <c:v>2013</c:v>
                </c:pt>
                <c:pt idx="4">
                  <c:v>2014</c:v>
                </c:pt>
                <c:pt idx="5">
                  <c:v>2015</c:v>
                </c:pt>
                <c:pt idx="6">
                  <c:v>2016</c:v>
                </c:pt>
                <c:pt idx="7">
                  <c:v>2017</c:v>
                </c:pt>
                <c:pt idx="8">
                  <c:v>2018</c:v>
                </c:pt>
                <c:pt idx="9">
                  <c:v>2019</c:v>
                </c:pt>
                <c:pt idx="10">
                  <c:v>2020 COVID</c:v>
                </c:pt>
                <c:pt idx="11">
                  <c:v>2021</c:v>
                </c:pt>
                <c:pt idx="12">
                  <c:v>2022 Energy</c:v>
                </c:pt>
                <c:pt idx="13">
                  <c:v>2023</c:v>
                </c:pt>
                <c:pt idx="14">
                  <c:v>2024</c:v>
                </c:pt>
                <c:pt idx="15">
                  <c:v>2025</c:v>
                </c:pt>
              </c:strCache>
            </c:strRef>
          </c:cat>
          <c:val>
            <c:numRef>
              <c:f>03_CLEAN_DATA!$E$2:$E$17</c:f>
              <c:numCache>
                <c:formatCode>0.00</c:formatCode>
                <c:ptCount val="16"/>
                <c:pt idx="0">
                  <c:v>1.06795068152046</c:v>
                </c:pt>
                <c:pt idx="1">
                  <c:v>1.91670916599742</c:v>
                </c:pt>
                <c:pt idx="2">
                  <c:v>-1.33948446518181</c:v>
                </c:pt>
                <c:pt idx="3">
                  <c:v>2.03216990678146</c:v>
                </c:pt>
                <c:pt idx="4">
                  <c:v>4.33435364113967</c:v>
                </c:pt>
                <c:pt idx="5">
                  <c:v>3.65981615406955</c:v>
                </c:pt>
                <c:pt idx="6">
                  <c:v>2.43864141309342</c:v>
                </c:pt>
                <c:pt idx="7">
                  <c:v>4.12418389451805</c:v>
                </c:pt>
                <c:pt idx="8">
                  <c:v>5.60613813768876</c:v>
                </c:pt>
                <c:pt idx="9">
                  <c:v>5.07718495088933</c:v>
                </c:pt>
                <c:pt idx="10">
                  <c:v>-4.33872540024058</c:v>
                </c:pt>
                <c:pt idx="11">
                  <c:v>7.22291580811137</c:v>
                </c:pt>
                <c:pt idx="12">
                  <c:v>4.15238057779229</c:v>
                </c:pt>
                <c:pt idx="13">
                  <c:v>-0.817107370513455</c:v>
                </c:pt>
                <c:pt idx="14">
                  <c:v>0.709070599066038</c:v>
                </c:pt>
                <c:pt idx="15">
                  <c:v>0.509542309726868</c:v>
                </c:pt>
              </c:numCache>
            </c:numRef>
          </c:val>
          <c:smooth val="0"/>
        </c:ser>
        <c:ser>
          <c:idx val="1"/>
          <c:order val="1"/>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05_CHARTS!$A$321:$A$336</c:f>
              <c:strCache>
                <c:ptCount val="16"/>
                <c:pt idx="0">
                  <c:v>2010</c:v>
                </c:pt>
                <c:pt idx="1">
                  <c:v>2011</c:v>
                </c:pt>
                <c:pt idx="2">
                  <c:v>2012</c:v>
                </c:pt>
                <c:pt idx="3">
                  <c:v>2013</c:v>
                </c:pt>
                <c:pt idx="4">
                  <c:v>2014</c:v>
                </c:pt>
                <c:pt idx="5">
                  <c:v>2015</c:v>
                </c:pt>
                <c:pt idx="6">
                  <c:v>2016</c:v>
                </c:pt>
                <c:pt idx="7">
                  <c:v>2017</c:v>
                </c:pt>
                <c:pt idx="8">
                  <c:v>2018</c:v>
                </c:pt>
                <c:pt idx="9">
                  <c:v>2019</c:v>
                </c:pt>
                <c:pt idx="10">
                  <c:v>2020 COVID</c:v>
                </c:pt>
                <c:pt idx="11">
                  <c:v>2021</c:v>
                </c:pt>
                <c:pt idx="12">
                  <c:v>2022 Energy</c:v>
                </c:pt>
                <c:pt idx="13">
                  <c:v>2023</c:v>
                </c:pt>
                <c:pt idx="14">
                  <c:v>2024</c:v>
                </c:pt>
                <c:pt idx="15">
                  <c:v>2025</c:v>
                </c:pt>
              </c:strCache>
            </c:strRef>
          </c:cat>
          <c:val>
            <c:numRef>
              <c:f>03_CLEAN_DATA!$E$18:$E$33</c:f>
              <c:numCache>
                <c:formatCode>0.00</c:formatCode>
                <c:ptCount val="16"/>
                <c:pt idx="0">
                  <c:v>3.16892748258036</c:v>
                </c:pt>
                <c:pt idx="1">
                  <c:v>5.25546256612796</c:v>
                </c:pt>
                <c:pt idx="2">
                  <c:v>1.51178167644575</c:v>
                </c:pt>
                <c:pt idx="3">
                  <c:v>0.684240607051805</c:v>
                </c:pt>
                <c:pt idx="4">
                  <c:v>3.92050862390032</c:v>
                </c:pt>
                <c:pt idx="5">
                  <c:v>4.43176700264478</c:v>
                </c:pt>
                <c:pt idx="6">
                  <c:v>3.03117767594847</c:v>
                </c:pt>
                <c:pt idx="7">
                  <c:v>5.15245773325907</c:v>
                </c:pt>
                <c:pt idx="8">
                  <c:v>6.2458584723942</c:v>
                </c:pt>
                <c:pt idx="9">
                  <c:v>4.58045817256199</c:v>
                </c:pt>
                <c:pt idx="10">
                  <c:v>-2.03556882399977</c:v>
                </c:pt>
                <c:pt idx="11">
                  <c:v>6.92718266052501</c:v>
                </c:pt>
                <c:pt idx="12">
                  <c:v>5.25545697386036</c:v>
                </c:pt>
                <c:pt idx="13">
                  <c:v>0.249610834017872</c:v>
                </c:pt>
                <c:pt idx="14">
                  <c:v>3.02841630700273</c:v>
                </c:pt>
                <c:pt idx="15">
                  <c:v>3.5727250346774</c:v>
                </c:pt>
              </c:numCache>
            </c:numRef>
          </c:val>
          <c:smooth val="0"/>
        </c:ser>
        <c:ser>
          <c:idx val="2"/>
          <c:order val="2"/>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05_CHARTS!$A$321:$A$336</c:f>
              <c:strCache>
                <c:ptCount val="16"/>
                <c:pt idx="0">
                  <c:v>2010</c:v>
                </c:pt>
                <c:pt idx="1">
                  <c:v>2011</c:v>
                </c:pt>
                <c:pt idx="2">
                  <c:v>2012</c:v>
                </c:pt>
                <c:pt idx="3">
                  <c:v>2013</c:v>
                </c:pt>
                <c:pt idx="4">
                  <c:v>2014</c:v>
                </c:pt>
                <c:pt idx="5">
                  <c:v>2015</c:v>
                </c:pt>
                <c:pt idx="6">
                  <c:v>2016</c:v>
                </c:pt>
                <c:pt idx="7">
                  <c:v>2017</c:v>
                </c:pt>
                <c:pt idx="8">
                  <c:v>2018</c:v>
                </c:pt>
                <c:pt idx="9">
                  <c:v>2019</c:v>
                </c:pt>
                <c:pt idx="10">
                  <c:v>2020 COVID</c:v>
                </c:pt>
                <c:pt idx="11">
                  <c:v>2021</c:v>
                </c:pt>
                <c:pt idx="12">
                  <c:v>2022 Energy</c:v>
                </c:pt>
                <c:pt idx="13">
                  <c:v>2023</c:v>
                </c:pt>
                <c:pt idx="14">
                  <c:v>2024</c:v>
                </c:pt>
                <c:pt idx="15">
                  <c:v>2025</c:v>
                </c:pt>
              </c:strCache>
            </c:strRef>
          </c:cat>
          <c:val>
            <c:numRef>
              <c:f>03_CLEAN_DATA!$E$34:$E$49</c:f>
              <c:numCache>
                <c:formatCode>0.00</c:formatCode>
                <c:ptCount val="16"/>
                <c:pt idx="0">
                  <c:v>2.71466509907701</c:v>
                </c:pt>
                <c:pt idx="1">
                  <c:v>1.77238085338473</c:v>
                </c:pt>
                <c:pt idx="2">
                  <c:v>-0.770668190622743</c:v>
                </c:pt>
                <c:pt idx="3">
                  <c:v>-0.0418124160447491</c:v>
                </c:pt>
                <c:pt idx="4">
                  <c:v>2.24521219862635</c:v>
                </c:pt>
                <c:pt idx="5">
                  <c:v>4.95875848915604</c:v>
                </c:pt>
                <c:pt idx="6">
                  <c:v>2.58087013921376</c:v>
                </c:pt>
                <c:pt idx="7">
                  <c:v>5.17356529967881</c:v>
                </c:pt>
                <c:pt idx="8">
                  <c:v>2.83030588267866</c:v>
                </c:pt>
                <c:pt idx="9">
                  <c:v>3.56577658128261</c:v>
                </c:pt>
                <c:pt idx="10">
                  <c:v>-5.30487955463876</c:v>
                </c:pt>
                <c:pt idx="11">
                  <c:v>4.02901832055149</c:v>
                </c:pt>
                <c:pt idx="12">
                  <c:v>2.8471706583814</c:v>
                </c:pt>
                <c:pt idx="13">
                  <c:v>0.0475803308973752</c:v>
                </c:pt>
                <c:pt idx="14">
                  <c:v>1.25131096245923</c:v>
                </c:pt>
                <c:pt idx="15">
                  <c:v>2.58046673293437</c:v>
                </c:pt>
              </c:numCache>
            </c:numRef>
          </c:val>
          <c:smooth val="0"/>
        </c:ser>
        <c:ser>
          <c:idx val="3"/>
          <c:order val="3"/>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05_CHARTS!$A$321:$A$336</c:f>
              <c:strCache>
                <c:ptCount val="16"/>
                <c:pt idx="0">
                  <c:v>2010</c:v>
                </c:pt>
                <c:pt idx="1">
                  <c:v>2011</c:v>
                </c:pt>
                <c:pt idx="2">
                  <c:v>2012</c:v>
                </c:pt>
                <c:pt idx="3">
                  <c:v>2013</c:v>
                </c:pt>
                <c:pt idx="4">
                  <c:v>2014</c:v>
                </c:pt>
                <c:pt idx="5">
                  <c:v>2015</c:v>
                </c:pt>
                <c:pt idx="6">
                  <c:v>2016</c:v>
                </c:pt>
                <c:pt idx="7">
                  <c:v>2017</c:v>
                </c:pt>
                <c:pt idx="8">
                  <c:v>2018</c:v>
                </c:pt>
                <c:pt idx="9">
                  <c:v>2019</c:v>
                </c:pt>
                <c:pt idx="10">
                  <c:v>2020 COVID</c:v>
                </c:pt>
                <c:pt idx="11">
                  <c:v>2021</c:v>
                </c:pt>
                <c:pt idx="12">
                  <c:v>2022 Energy</c:v>
                </c:pt>
                <c:pt idx="13">
                  <c:v>2023</c:v>
                </c:pt>
                <c:pt idx="14">
                  <c:v>2024</c:v>
                </c:pt>
                <c:pt idx="15">
                  <c:v>2025</c:v>
                </c:pt>
              </c:strCache>
            </c:strRef>
          </c:cat>
          <c:val>
            <c:numRef>
              <c:f>03_CLEAN_DATA!$E$50:$E$65</c:f>
              <c:numCache>
                <c:formatCode>0.00</c:formatCode>
                <c:ptCount val="16"/>
                <c:pt idx="0">
                  <c:v>6.79058159142423</c:v>
                </c:pt>
                <c:pt idx="1">
                  <c:v>2.56242473215553</c:v>
                </c:pt>
                <c:pt idx="2">
                  <c:v>1.56917104702706</c:v>
                </c:pt>
                <c:pt idx="3">
                  <c:v>0.703323545247201</c:v>
                </c:pt>
                <c:pt idx="4">
                  <c:v>2.70795151449488</c:v>
                </c:pt>
                <c:pt idx="5">
                  <c:v>5.17687909722133</c:v>
                </c:pt>
                <c:pt idx="6">
                  <c:v>1.94781841524558</c:v>
                </c:pt>
                <c:pt idx="7">
                  <c:v>2.87473327453695</c:v>
                </c:pt>
                <c:pt idx="8">
                  <c:v>4.06211981896483</c:v>
                </c:pt>
                <c:pt idx="9">
                  <c:v>2.27589910019393</c:v>
                </c:pt>
                <c:pt idx="10">
                  <c:v>-2.58551241733207</c:v>
                </c:pt>
                <c:pt idx="11">
                  <c:v>5.6558588065555</c:v>
                </c:pt>
                <c:pt idx="12">
                  <c:v>0.544591632137454</c:v>
                </c:pt>
                <c:pt idx="13">
                  <c:v>2.11263633214959</c:v>
                </c:pt>
                <c:pt idx="14">
                  <c:v>1.93867445549446</c:v>
                </c:pt>
                <c:pt idx="15">
                  <c:v>0.807418690144758</c:v>
                </c:pt>
              </c:numCache>
            </c:numRef>
          </c:val>
          <c:smooth val="0"/>
        </c:ser>
        <c:hiLowLines>
          <c:spPr>
            <a:ln w="0">
              <a:noFill/>
            </a:ln>
          </c:spPr>
        </c:hiLowLines>
        <c:marker val="1"/>
        <c:axId val="16138261"/>
        <c:axId val="43505532"/>
      </c:lineChart>
      <c:catAx>
        <c:axId val="161382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3505532"/>
        <c:crosses val="autoZero"/>
        <c:auto val="1"/>
        <c:lblAlgn val="ctr"/>
        <c:lblOffset val="100"/>
        <c:noMultiLvlLbl val="0"/>
      </c:catAx>
      <c:valAx>
        <c:axId val="43505532"/>
        <c:scaling>
          <c:orientation val="minMax"/>
          <c:max val="8"/>
          <c:min val="-6"/>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change, constant prices</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1382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FDI inflows, % GDP: POL, CZE, SVK</a:t>
            </a:r>
          </a:p>
        </c:rich>
      </c:tx>
      <c:overlay val="0"/>
      <c:spPr>
        <a:noFill/>
        <a:ln w="0">
          <a:noFill/>
        </a:ln>
      </c:spPr>
    </c:title>
    <c:autoTitleDeleted val="0"/>
    <c:plotArea>
      <c:lineChart>
        <c:grouping val="standard"/>
        <c:varyColors val="0"/>
        <c:ser>
          <c:idx val="0"/>
          <c:order val="0"/>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03_CLEAN_DATA!$N$18:$N$33</c:f>
              <c:numCache>
                <c:formatCode>0.00</c:formatCode>
                <c:ptCount val="16"/>
                <c:pt idx="0">
                  <c:v>3.94489462074706</c:v>
                </c:pt>
                <c:pt idx="1">
                  <c:v>3.57128957712437</c:v>
                </c:pt>
                <c:pt idx="2">
                  <c:v>1.52886091421625</c:v>
                </c:pt>
                <c:pt idx="3">
                  <c:v>0.258983446617592</c:v>
                </c:pt>
                <c:pt idx="4">
                  <c:v>3.85089176515991</c:v>
                </c:pt>
                <c:pt idx="5">
                  <c:v>3.29546177974363</c:v>
                </c:pt>
                <c:pt idx="6">
                  <c:v>3.81608721408819</c:v>
                </c:pt>
                <c:pt idx="7">
                  <c:v>2.37812815599278</c:v>
                </c:pt>
                <c:pt idx="8">
                  <c:v>3.34803954559233</c:v>
                </c:pt>
                <c:pt idx="9">
                  <c:v>3.15455649244208</c:v>
                </c:pt>
                <c:pt idx="10">
                  <c:v>3.31499059495462</c:v>
                </c:pt>
                <c:pt idx="11">
                  <c:v>5.44306737738578</c:v>
                </c:pt>
                <c:pt idx="12">
                  <c:v>6.00626096603428</c:v>
                </c:pt>
                <c:pt idx="13">
                  <c:v>4.38918673390545</c:v>
                </c:pt>
                <c:pt idx="14">
                  <c:v>2.24523191798779</c:v>
                </c:pt>
                <c:pt idx="15">
                  <c:v>2.02222753667037</c:v>
                </c:pt>
              </c:numCache>
            </c:numRef>
          </c:val>
          <c:smooth val="0"/>
        </c:ser>
        <c:ser>
          <c:idx val="1"/>
          <c:order val="1"/>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03_CLEAN_DATA!$N$34:$N$49</c:f>
              <c:numCache>
                <c:formatCode>0.00</c:formatCode>
                <c:ptCount val="16"/>
                <c:pt idx="0">
                  <c:v>4.81502985527419</c:v>
                </c:pt>
                <c:pt idx="1">
                  <c:v>1.80994155301699</c:v>
                </c:pt>
                <c:pt idx="2">
                  <c:v>4.48424380759869</c:v>
                </c:pt>
                <c:pt idx="3">
                  <c:v>3.45386726376292</c:v>
                </c:pt>
                <c:pt idx="4">
                  <c:v>3.83510153423089</c:v>
                </c:pt>
                <c:pt idx="5">
                  <c:v>0.898913491904098</c:v>
                </c:pt>
                <c:pt idx="6">
                  <c:v>5.47566421423918</c:v>
                </c:pt>
                <c:pt idx="7">
                  <c:v>5.07066240955503</c:v>
                </c:pt>
                <c:pt idx="8">
                  <c:v>3.30353998283407</c:v>
                </c:pt>
                <c:pt idx="9">
                  <c:v>4.18705737619001</c:v>
                </c:pt>
                <c:pt idx="10">
                  <c:v>3.39114066226469</c:v>
                </c:pt>
                <c:pt idx="11">
                  <c:v>4.43029524586196</c:v>
                </c:pt>
                <c:pt idx="12">
                  <c:v>3.02937517288668</c:v>
                </c:pt>
                <c:pt idx="13">
                  <c:v>3.4462419046487</c:v>
                </c:pt>
                <c:pt idx="14">
                  <c:v>3.8933976290188</c:v>
                </c:pt>
                <c:pt idx="15">
                  <c:v>2.68622429295406</c:v>
                </c:pt>
              </c:numCache>
            </c:numRef>
          </c:val>
          <c:smooth val="0"/>
        </c:ser>
        <c:ser>
          <c:idx val="2"/>
          <c:order val="2"/>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03_CLEAN_DATA!$N$50:$N$65</c:f>
              <c:numCache>
                <c:formatCode>0.00</c:formatCode>
                <c:ptCount val="16"/>
                <c:pt idx="0">
                  <c:v>2.32222893370545</c:v>
                </c:pt>
                <c:pt idx="1">
                  <c:v>5.44765747649664</c:v>
                </c:pt>
                <c:pt idx="2">
                  <c:v>1.87551069035637</c:v>
                </c:pt>
                <c:pt idx="3">
                  <c:v>1.01266878582834</c:v>
                </c:pt>
                <c:pt idx="4">
                  <c:v>-0.356803047431846</c:v>
                </c:pt>
                <c:pt idx="5">
                  <c:v>1.70487122540291</c:v>
                </c:pt>
                <c:pt idx="6">
                  <c:v>5.27776400294759</c:v>
                </c:pt>
                <c:pt idx="7">
                  <c:v>4.39985852496708</c:v>
                </c:pt>
                <c:pt idx="8">
                  <c:v>2.11265589992234</c:v>
                </c:pt>
                <c:pt idx="9">
                  <c:v>2.15395426264868</c:v>
                </c:pt>
                <c:pt idx="10">
                  <c:v>-1.0597493247289</c:v>
                </c:pt>
                <c:pt idx="11">
                  <c:v>2.25687211693106</c:v>
                </c:pt>
                <c:pt idx="12">
                  <c:v>4.1687645379277</c:v>
                </c:pt>
                <c:pt idx="13">
                  <c:v>0.393859167717588</c:v>
                </c:pt>
                <c:pt idx="14">
                  <c:v>3.55503662060591</c:v>
                </c:pt>
                <c:pt idx="15">
                  <c:v>1.32903607891851</c:v>
                </c:pt>
              </c:numCache>
            </c:numRef>
          </c:val>
          <c:smooth val="0"/>
        </c:ser>
        <c:hiLowLines>
          <c:spPr>
            <a:ln w="0">
              <a:noFill/>
            </a:ln>
          </c:spPr>
        </c:hiLowLines>
        <c:marker val="1"/>
        <c:axId val="34575820"/>
        <c:axId val="96534470"/>
      </c:lineChart>
      <c:catAx>
        <c:axId val="3457582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6534470"/>
        <c:crosses val="autoZero"/>
        <c:auto val="1"/>
        <c:lblAlgn val="ctr"/>
        <c:lblOffset val="100"/>
        <c:noMultiLvlLbl val="0"/>
      </c:catAx>
      <c:valAx>
        <c:axId val="96534470"/>
        <c:scaling>
          <c:orientation val="minMax"/>
          <c:max val="8"/>
          <c:min val="-2"/>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7582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FDI inflows, % GDP: Hungary</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03_CLEAN_DATA!$N$2:$N$17</c:f>
              <c:numCache>
                <c:formatCode>0.00</c:formatCode>
                <c:ptCount val="16"/>
                <c:pt idx="0">
                  <c:v>-15.8854380283338</c:v>
                </c:pt>
                <c:pt idx="1">
                  <c:v>7.45442145492381</c:v>
                </c:pt>
                <c:pt idx="2">
                  <c:v>8.30549850772091</c:v>
                </c:pt>
                <c:pt idx="3">
                  <c:v>-2.74986395257086</c:v>
                </c:pt>
                <c:pt idx="4">
                  <c:v>9.1265022330579</c:v>
                </c:pt>
                <c:pt idx="5">
                  <c:v>-4.3672559097876</c:v>
                </c:pt>
                <c:pt idx="6">
                  <c:v>53.8467636785015</c:v>
                </c:pt>
                <c:pt idx="7">
                  <c:v>-8.6313549623639</c:v>
                </c:pt>
                <c:pt idx="8">
                  <c:v>-40.1082460169744</c:v>
                </c:pt>
                <c:pt idx="9">
                  <c:v>59.5775493833952</c:v>
                </c:pt>
                <c:pt idx="10">
                  <c:v>105.635755544096</c:v>
                </c:pt>
                <c:pt idx="11">
                  <c:v>18.2639108972104</c:v>
                </c:pt>
                <c:pt idx="12">
                  <c:v>-1.05246677407293</c:v>
                </c:pt>
                <c:pt idx="13">
                  <c:v>-33.2799471781632</c:v>
                </c:pt>
                <c:pt idx="14">
                  <c:v>-27.5090725956422</c:v>
                </c:pt>
                <c:pt idx="15">
                  <c:v>-28.3736403614031</c:v>
                </c:pt>
              </c:numCache>
            </c:numRef>
          </c:val>
          <c:smooth val="0"/>
        </c:ser>
        <c:hiLowLines>
          <c:spPr>
            <a:ln w="0">
              <a:noFill/>
            </a:ln>
          </c:spPr>
        </c:hiLowLines>
        <c:marker val="1"/>
        <c:axId val="52230353"/>
        <c:axId val="21189387"/>
      </c:lineChart>
      <c:catAx>
        <c:axId val="522303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1189387"/>
        <c:crosses val="autoZero"/>
        <c:auto val="1"/>
        <c:lblAlgn val="ctr"/>
        <c:lblOffset val="100"/>
        <c:noMultiLvlLbl val="0"/>
      </c:catAx>
      <c:valAx>
        <c:axId val="21189387"/>
        <c:scaling>
          <c:orientation val="minMax"/>
          <c:max val="120"/>
          <c:min val="-6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23035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Trade balance, % of GDP</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04_CALCULATIONS!$E$2:$E$17</c:f>
              <c:numCache>
                <c:formatCode>0.00</c:formatCode>
                <c:ptCount val="16"/>
                <c:pt idx="0">
                  <c:v>4.66804700510686</c:v>
                </c:pt>
                <c:pt idx="1">
                  <c:v>5.63195342647698</c:v>
                </c:pt>
                <c:pt idx="2">
                  <c:v>5.99952080267289</c:v>
                </c:pt>
                <c:pt idx="3">
                  <c:v>6.3115456226577</c:v>
                </c:pt>
                <c:pt idx="4">
                  <c:v>5.69597313412243</c:v>
                </c:pt>
                <c:pt idx="5">
                  <c:v>7.57902978025711</c:v>
                </c:pt>
                <c:pt idx="6">
                  <c:v>8.2509824194741</c:v>
                </c:pt>
                <c:pt idx="7">
                  <c:v>6.45945084962942</c:v>
                </c:pt>
                <c:pt idx="8">
                  <c:v>4.09270022232619</c:v>
                </c:pt>
                <c:pt idx="9">
                  <c:v>2.20584492909721</c:v>
                </c:pt>
                <c:pt idx="10">
                  <c:v>1.64886055223293</c:v>
                </c:pt>
                <c:pt idx="11">
                  <c:v>-0.364658568558582</c:v>
                </c:pt>
                <c:pt idx="12">
                  <c:v>-5.34968205814709</c:v>
                </c:pt>
                <c:pt idx="13">
                  <c:v>4.15615309239805</c:v>
                </c:pt>
                <c:pt idx="14">
                  <c:v>4.4691574847128</c:v>
                </c:pt>
                <c:pt idx="15">
                  <c:v>4.48156031036338</c:v>
                </c:pt>
              </c:numCache>
            </c:numRef>
          </c:val>
          <c:smooth val="0"/>
        </c:ser>
        <c:ser>
          <c:idx val="1"/>
          <c:order val="1"/>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04_CALCULATIONS!$E$18:$E$33</c:f>
              <c:numCache>
                <c:formatCode>0.00</c:formatCode>
                <c:ptCount val="16"/>
                <c:pt idx="0">
                  <c:v>-2.44143862934843</c:v>
                </c:pt>
                <c:pt idx="1">
                  <c:v>-2.28730733694176</c:v>
                </c:pt>
                <c:pt idx="2">
                  <c:v>-0.784100029465391</c:v>
                </c:pt>
                <c:pt idx="3">
                  <c:v>1.11706908426592</c:v>
                </c:pt>
                <c:pt idx="4">
                  <c:v>0.407324353797902</c:v>
                </c:pt>
                <c:pt idx="5">
                  <c:v>2.06784617731138</c:v>
                </c:pt>
                <c:pt idx="6">
                  <c:v>2.94695491864769</c:v>
                </c:pt>
                <c:pt idx="7">
                  <c:v>2.81915991097923</c:v>
                </c:pt>
                <c:pt idx="8">
                  <c:v>2.02268871994475</c:v>
                </c:pt>
                <c:pt idx="9">
                  <c:v>3.64475314497559</c:v>
                </c:pt>
                <c:pt idx="10">
                  <c:v>5.60867980950595</c:v>
                </c:pt>
                <c:pt idx="11">
                  <c:v>3.20166912265852</c:v>
                </c:pt>
                <c:pt idx="12">
                  <c:v>1.68369963074634</c:v>
                </c:pt>
                <c:pt idx="13">
                  <c:v>5.73760699727163</c:v>
                </c:pt>
                <c:pt idx="14">
                  <c:v>4.0001839366382</c:v>
                </c:pt>
                <c:pt idx="15">
                  <c:v>2.870947943123</c:v>
                </c:pt>
              </c:numCache>
            </c:numRef>
          </c:val>
          <c:smooth val="0"/>
        </c:ser>
        <c:ser>
          <c:idx val="2"/>
          <c:order val="2"/>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04_CALCULATIONS!$E$34:$E$49</c:f>
              <c:numCache>
                <c:formatCode>0.00</c:formatCode>
                <c:ptCount val="16"/>
                <c:pt idx="0">
                  <c:v>3.02671591429822</c:v>
                </c:pt>
                <c:pt idx="1">
                  <c:v>3.75041968278711</c:v>
                </c:pt>
                <c:pt idx="2">
                  <c:v>4.72942555651658</c:v>
                </c:pt>
                <c:pt idx="3">
                  <c:v>5.65856026765082</c:v>
                </c:pt>
                <c:pt idx="4">
                  <c:v>6.28694759765373</c:v>
                </c:pt>
                <c:pt idx="5">
                  <c:v>6.00673328871997</c:v>
                </c:pt>
                <c:pt idx="6">
                  <c:v>7.66966134837032</c:v>
                </c:pt>
                <c:pt idx="7">
                  <c:v>7.61803039149372</c:v>
                </c:pt>
                <c:pt idx="8">
                  <c:v>6.07784508232888</c:v>
                </c:pt>
                <c:pt idx="9">
                  <c:v>6.09509228342468</c:v>
                </c:pt>
                <c:pt idx="10">
                  <c:v>6.74151616298192</c:v>
                </c:pt>
                <c:pt idx="11">
                  <c:v>3.72197398281938</c:v>
                </c:pt>
                <c:pt idx="12">
                  <c:v>0.807362176221077</c:v>
                </c:pt>
                <c:pt idx="13">
                  <c:v>4.91361556101409</c:v>
                </c:pt>
                <c:pt idx="14">
                  <c:v>6.250448303446</c:v>
                </c:pt>
                <c:pt idx="15">
                  <c:v>5.85075449497065</c:v>
                </c:pt>
              </c:numCache>
            </c:numRef>
          </c:val>
          <c:smooth val="0"/>
        </c:ser>
        <c:ser>
          <c:idx val="3"/>
          <c:order val="3"/>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04_CALCULATIONS!$E$50:$E$65</c:f>
              <c:numCache>
                <c:formatCode>0.00</c:formatCode>
                <c:ptCount val="16"/>
                <c:pt idx="0">
                  <c:v>-0.946333509111594</c:v>
                </c:pt>
                <c:pt idx="1">
                  <c:v>0.0880279367450213</c:v>
                </c:pt>
                <c:pt idx="2">
                  <c:v>4.84876716533062</c:v>
                </c:pt>
                <c:pt idx="3">
                  <c:v>4.85490799223945</c:v>
                </c:pt>
                <c:pt idx="4">
                  <c:v>4.12370187415996</c:v>
                </c:pt>
                <c:pt idx="5">
                  <c:v>1.96167634325372</c:v>
                </c:pt>
                <c:pt idx="6">
                  <c:v>1.86599442282259</c:v>
                </c:pt>
                <c:pt idx="7">
                  <c:v>1.26014634823268</c:v>
                </c:pt>
                <c:pt idx="8">
                  <c:v>1.12070059577742</c:v>
                </c:pt>
                <c:pt idx="9">
                  <c:v>-0.0344356069802966</c:v>
                </c:pt>
                <c:pt idx="10">
                  <c:v>1.06251357670252</c:v>
                </c:pt>
                <c:pt idx="11">
                  <c:v>-0.4557609668377</c:v>
                </c:pt>
                <c:pt idx="12">
                  <c:v>-5.92133174685011</c:v>
                </c:pt>
                <c:pt idx="13">
                  <c:v>1.5962399085669</c:v>
                </c:pt>
                <c:pt idx="14">
                  <c:v>-0.245802239379225</c:v>
                </c:pt>
                <c:pt idx="15">
                  <c:v>-0.15323758127642</c:v>
                </c:pt>
              </c:numCache>
            </c:numRef>
          </c:val>
          <c:smooth val="0"/>
        </c:ser>
        <c:hiLowLines>
          <c:spPr>
            <a:ln w="0">
              <a:noFill/>
            </a:ln>
          </c:spPr>
        </c:hiLowLines>
        <c:marker val="1"/>
        <c:axId val="70522857"/>
        <c:axId val="38918972"/>
      </c:lineChart>
      <c:catAx>
        <c:axId val="7052285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8918972"/>
        <c:crosses val="autoZero"/>
        <c:auto val="1"/>
        <c:lblAlgn val="ctr"/>
        <c:lblOffset val="100"/>
        <c:noMultiLvlLbl val="0"/>
      </c:catAx>
      <c:valAx>
        <c:axId val="38918972"/>
        <c:scaling>
          <c:orientation val="minMax"/>
          <c:max val="10"/>
          <c:min val="-8"/>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52285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export growth, % per year</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04_CALCULATIONS!$D$2:$D$17</c:f>
              <c:numCache>
                <c:formatCode>0.00</c:formatCode>
                <c:ptCount val="16"/>
                <c:pt idx="0">
                  <c:v>11.1175298333013</c:v>
                </c:pt>
                <c:pt idx="1">
                  <c:v>6.41395503667792</c:v>
                </c:pt>
                <c:pt idx="2">
                  <c:v>-1.70149550635105</c:v>
                </c:pt>
                <c:pt idx="3">
                  <c:v>4.07872405340364</c:v>
                </c:pt>
                <c:pt idx="4">
                  <c:v>9.202076755496</c:v>
                </c:pt>
                <c:pt idx="5">
                  <c:v>7.36277102410805</c:v>
                </c:pt>
                <c:pt idx="6">
                  <c:v>3.80222078404726</c:v>
                </c:pt>
                <c:pt idx="7">
                  <c:v>6.47973024327728</c:v>
                </c:pt>
                <c:pt idx="8">
                  <c:v>4.99049357978845</c:v>
                </c:pt>
                <c:pt idx="9">
                  <c:v>5.45703801235722</c:v>
                </c:pt>
                <c:pt idx="10">
                  <c:v>-6.14474551665293</c:v>
                </c:pt>
                <c:pt idx="11">
                  <c:v>8.24041022512709</c:v>
                </c:pt>
                <c:pt idx="12">
                  <c:v>10.7363500978317</c:v>
                </c:pt>
                <c:pt idx="13">
                  <c:v>1.81468946273118</c:v>
                </c:pt>
                <c:pt idx="14">
                  <c:v>-0.504422403904148</c:v>
                </c:pt>
                <c:pt idx="15">
                  <c:v>-1.08279998608553</c:v>
                </c:pt>
              </c:numCache>
            </c:numRef>
          </c:val>
          <c:smooth val="0"/>
        </c:ser>
        <c:ser>
          <c:idx val="1"/>
          <c:order val="1"/>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04_CALCULATIONS!$D$18:$D$33</c:f>
              <c:numCache>
                <c:formatCode>0.00</c:formatCode>
                <c:ptCount val="16"/>
                <c:pt idx="0">
                  <c:v>12.5897225593362</c:v>
                </c:pt>
                <c:pt idx="1">
                  <c:v>7.74499192152887</c:v>
                </c:pt>
                <c:pt idx="2">
                  <c:v>3.92000537548793</c:v>
                </c:pt>
                <c:pt idx="3">
                  <c:v>5.06049835860376</c:v>
                </c:pt>
                <c:pt idx="4">
                  <c:v>5.49759785345441</c:v>
                </c:pt>
                <c:pt idx="5">
                  <c:v>6.60869741190786</c:v>
                </c:pt>
                <c:pt idx="6">
                  <c:v>8.95924632654461</c:v>
                </c:pt>
                <c:pt idx="7">
                  <c:v>9.0919903643482</c:v>
                </c:pt>
                <c:pt idx="8">
                  <c:v>6.75736767424613</c:v>
                </c:pt>
                <c:pt idx="9">
                  <c:v>5.33745531975389</c:v>
                </c:pt>
                <c:pt idx="10">
                  <c:v>-1.07566234288528</c:v>
                </c:pt>
                <c:pt idx="11">
                  <c:v>12.3031677387779</c:v>
                </c:pt>
                <c:pt idx="12">
                  <c:v>7.40565016437489</c:v>
                </c:pt>
                <c:pt idx="13">
                  <c:v>3.716713714528</c:v>
                </c:pt>
                <c:pt idx="14">
                  <c:v>2.00034070114321</c:v>
                </c:pt>
                <c:pt idx="15">
                  <c:v>4.48112657246167</c:v>
                </c:pt>
              </c:numCache>
            </c:numRef>
          </c:val>
          <c:smooth val="0"/>
        </c:ser>
        <c:ser>
          <c:idx val="2"/>
          <c:order val="2"/>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04_CALCULATIONS!$D$34:$D$49</c:f>
              <c:numCache>
                <c:formatCode>0.00</c:formatCode>
                <c:ptCount val="16"/>
                <c:pt idx="0">
                  <c:v>14.6575067880562</c:v>
                </c:pt>
                <c:pt idx="1">
                  <c:v>9.16251804304127</c:v>
                </c:pt>
                <c:pt idx="2">
                  <c:v>4.28116143497319</c:v>
                </c:pt>
                <c:pt idx="3">
                  <c:v>0.25860507770501</c:v>
                </c:pt>
                <c:pt idx="4">
                  <c:v>8.72634203120317</c:v>
                </c:pt>
                <c:pt idx="5">
                  <c:v>5.91173316859568</c:v>
                </c:pt>
                <c:pt idx="6">
                  <c:v>4.13744263673597</c:v>
                </c:pt>
                <c:pt idx="7">
                  <c:v>7.10275452803149</c:v>
                </c:pt>
                <c:pt idx="8">
                  <c:v>3.50177596746721</c:v>
                </c:pt>
                <c:pt idx="9">
                  <c:v>1.31157012923468</c:v>
                </c:pt>
                <c:pt idx="10">
                  <c:v>-8.51612580418187</c:v>
                </c:pt>
                <c:pt idx="11">
                  <c:v>8.15308945199458</c:v>
                </c:pt>
                <c:pt idx="12">
                  <c:v>5.14899737013217</c:v>
                </c:pt>
                <c:pt idx="13">
                  <c:v>2.34796705681075</c:v>
                </c:pt>
                <c:pt idx="14">
                  <c:v>1.52528988187148</c:v>
                </c:pt>
                <c:pt idx="15">
                  <c:v>3.90217049622543</c:v>
                </c:pt>
              </c:numCache>
            </c:numRef>
          </c:val>
          <c:smooth val="0"/>
        </c:ser>
        <c:ser>
          <c:idx val="3"/>
          <c:order val="3"/>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04_CALCULATIONS!$D$50:$D$65</c:f>
              <c:numCache>
                <c:formatCode>0.00</c:formatCode>
                <c:ptCount val="16"/>
                <c:pt idx="0">
                  <c:v>18.0367547456067</c:v>
                </c:pt>
                <c:pt idx="1">
                  <c:v>10.0895270805303</c:v>
                </c:pt>
                <c:pt idx="2">
                  <c:v>9.21016484852928</c:v>
                </c:pt>
                <c:pt idx="3">
                  <c:v>5.38152728766166</c:v>
                </c:pt>
                <c:pt idx="4">
                  <c:v>3.3012427962728</c:v>
                </c:pt>
                <c:pt idx="5">
                  <c:v>6.75241976116079</c:v>
                </c:pt>
                <c:pt idx="6">
                  <c:v>4.90247974739853</c:v>
                </c:pt>
                <c:pt idx="7">
                  <c:v>3.64169143263642</c:v>
                </c:pt>
                <c:pt idx="8">
                  <c:v>5.47642478511412</c:v>
                </c:pt>
                <c:pt idx="9">
                  <c:v>1.35655513267356</c:v>
                </c:pt>
                <c:pt idx="10">
                  <c:v>-6.35535306900036</c:v>
                </c:pt>
                <c:pt idx="11">
                  <c:v>10.6610621875004</c:v>
                </c:pt>
                <c:pt idx="12">
                  <c:v>2.76875182987879</c:v>
                </c:pt>
                <c:pt idx="13">
                  <c:v>-0.67278952020482</c:v>
                </c:pt>
                <c:pt idx="14">
                  <c:v>0.0224049023346495</c:v>
                </c:pt>
                <c:pt idx="15">
                  <c:v>3.98274673533641</c:v>
                </c:pt>
              </c:numCache>
            </c:numRef>
          </c:val>
          <c:smooth val="0"/>
        </c:ser>
        <c:hiLowLines>
          <c:spPr>
            <a:ln w="0">
              <a:noFill/>
            </a:ln>
          </c:spPr>
        </c:hiLowLines>
        <c:marker val="1"/>
        <c:axId val="22369305"/>
        <c:axId val="59846262"/>
      </c:lineChart>
      <c:catAx>
        <c:axId val="223693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9846262"/>
        <c:crosses val="autoZero"/>
        <c:auto val="1"/>
        <c:lblAlgn val="ctr"/>
        <c:lblOffset val="100"/>
        <c:noMultiLvlLbl val="0"/>
      </c:catAx>
      <c:valAx>
        <c:axId val="59846262"/>
        <c:scaling>
          <c:orientation val="minMax"/>
          <c:max val="20"/>
          <c:min val="-1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change</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3693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Export growth vs FDI: all four</a:t>
            </a:r>
          </a:p>
        </c:rich>
      </c:tx>
      <c:overlay val="0"/>
      <c:spPr>
        <a:noFill/>
        <a:ln w="0">
          <a:noFill/>
        </a:ln>
      </c:spPr>
    </c:title>
    <c:autoTitleDeleted val="0"/>
    <c:plotArea>
      <c:scatterChart>
        <c:scatterStyle val="lineMarker"/>
        <c:varyColors val="0"/>
        <c:ser>
          <c:idx val="0"/>
          <c:order val="0"/>
          <c:tx>
            <c:strRef>
              <c:f>"Hungary"</c:f>
              <c:strCache>
                <c:ptCount val="1"/>
                <c:pt idx="0">
                  <c:v>Hungary</c:v>
                </c:pt>
              </c:strCache>
            </c:strRef>
          </c:tx>
          <c:spPr>
            <a:solidFill>
              <a:srgbClr val="e34948"/>
            </a:solidFill>
            <a:ln w="47520">
              <a:noFill/>
            </a:ln>
          </c:spPr>
          <c:marker>
            <c:symbol val="circle"/>
            <c:size val="7"/>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03_CLEAN_DATA!$N$2:$N$17</c:f>
              <c:numCache>
                <c:formatCode>0.00</c:formatCode>
                <c:ptCount val="16"/>
                <c:pt idx="0">
                  <c:v>-15.8854380283338</c:v>
                </c:pt>
                <c:pt idx="1">
                  <c:v>7.45442145492381</c:v>
                </c:pt>
                <c:pt idx="2">
                  <c:v>8.30549850772091</c:v>
                </c:pt>
                <c:pt idx="3">
                  <c:v>-2.74986395257086</c:v>
                </c:pt>
                <c:pt idx="4">
                  <c:v>9.1265022330579</c:v>
                </c:pt>
                <c:pt idx="5">
                  <c:v>-4.3672559097876</c:v>
                </c:pt>
                <c:pt idx="6">
                  <c:v>53.8467636785015</c:v>
                </c:pt>
                <c:pt idx="7">
                  <c:v>-8.6313549623639</c:v>
                </c:pt>
                <c:pt idx="8">
                  <c:v>-40.1082460169744</c:v>
                </c:pt>
                <c:pt idx="9">
                  <c:v>59.5775493833952</c:v>
                </c:pt>
                <c:pt idx="10">
                  <c:v>105.635755544096</c:v>
                </c:pt>
                <c:pt idx="11">
                  <c:v>18.2639108972104</c:v>
                </c:pt>
                <c:pt idx="12">
                  <c:v>-1.05246677407293</c:v>
                </c:pt>
                <c:pt idx="13">
                  <c:v>-33.2799471781632</c:v>
                </c:pt>
                <c:pt idx="14">
                  <c:v>-27.5090725956422</c:v>
                </c:pt>
                <c:pt idx="15">
                  <c:v>-28.3736403614031</c:v>
                </c:pt>
              </c:numCache>
            </c:numRef>
          </c:xVal>
          <c:yVal>
            <c:numRef>
              <c:f>04_CALCULATIONS!$D$2:$D$17</c:f>
              <c:numCache>
                <c:formatCode>0.00</c:formatCode>
                <c:ptCount val="16"/>
                <c:pt idx="0">
                  <c:v>11.1175298333013</c:v>
                </c:pt>
                <c:pt idx="1">
                  <c:v>6.41395503667792</c:v>
                </c:pt>
                <c:pt idx="2">
                  <c:v>-1.70149550635105</c:v>
                </c:pt>
                <c:pt idx="3">
                  <c:v>4.07872405340364</c:v>
                </c:pt>
                <c:pt idx="4">
                  <c:v>9.202076755496</c:v>
                </c:pt>
                <c:pt idx="5">
                  <c:v>7.36277102410805</c:v>
                </c:pt>
                <c:pt idx="6">
                  <c:v>3.80222078404726</c:v>
                </c:pt>
                <c:pt idx="7">
                  <c:v>6.47973024327728</c:v>
                </c:pt>
                <c:pt idx="8">
                  <c:v>4.99049357978845</c:v>
                </c:pt>
                <c:pt idx="9">
                  <c:v>5.45703801235722</c:v>
                </c:pt>
                <c:pt idx="10">
                  <c:v>-6.14474551665293</c:v>
                </c:pt>
                <c:pt idx="11">
                  <c:v>8.24041022512709</c:v>
                </c:pt>
                <c:pt idx="12">
                  <c:v>10.7363500978317</c:v>
                </c:pt>
                <c:pt idx="13">
                  <c:v>1.81468946273118</c:v>
                </c:pt>
                <c:pt idx="14">
                  <c:v>-0.504422403904148</c:v>
                </c:pt>
                <c:pt idx="15">
                  <c:v>-1.08279998608553</c:v>
                </c:pt>
              </c:numCache>
            </c:numRef>
          </c:yVal>
          <c:smooth val="0"/>
        </c:ser>
        <c:ser>
          <c:idx val="1"/>
          <c:order val="1"/>
          <c:tx>
            <c:strRef>
              <c:f>"Poland"</c:f>
              <c:strCache>
                <c:ptCount val="1"/>
                <c:pt idx="0">
                  <c:v>Poland</c:v>
                </c:pt>
              </c:strCache>
            </c:strRef>
          </c:tx>
          <c:spPr>
            <a:solidFill>
              <a:srgbClr val="2a78d6"/>
            </a:solidFill>
            <a:ln w="47520">
              <a:noFill/>
            </a:ln>
          </c:spPr>
          <c:marker>
            <c:symbol val="squar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03_CLEAN_DATA!$N$18:$N$33</c:f>
              <c:numCache>
                <c:formatCode>0.00</c:formatCode>
                <c:ptCount val="16"/>
                <c:pt idx="0">
                  <c:v>3.94489462074706</c:v>
                </c:pt>
                <c:pt idx="1">
                  <c:v>3.57128957712437</c:v>
                </c:pt>
                <c:pt idx="2">
                  <c:v>1.52886091421625</c:v>
                </c:pt>
                <c:pt idx="3">
                  <c:v>0.258983446617592</c:v>
                </c:pt>
                <c:pt idx="4">
                  <c:v>3.85089176515991</c:v>
                </c:pt>
                <c:pt idx="5">
                  <c:v>3.29546177974363</c:v>
                </c:pt>
                <c:pt idx="6">
                  <c:v>3.81608721408819</c:v>
                </c:pt>
                <c:pt idx="7">
                  <c:v>2.37812815599278</c:v>
                </c:pt>
                <c:pt idx="8">
                  <c:v>3.34803954559233</c:v>
                </c:pt>
                <c:pt idx="9">
                  <c:v>3.15455649244208</c:v>
                </c:pt>
                <c:pt idx="10">
                  <c:v>3.31499059495462</c:v>
                </c:pt>
                <c:pt idx="11">
                  <c:v>5.44306737738578</c:v>
                </c:pt>
                <c:pt idx="12">
                  <c:v>6.00626096603428</c:v>
                </c:pt>
                <c:pt idx="13">
                  <c:v>4.38918673390545</c:v>
                </c:pt>
                <c:pt idx="14">
                  <c:v>2.24523191798779</c:v>
                </c:pt>
                <c:pt idx="15">
                  <c:v>2.02222753667037</c:v>
                </c:pt>
              </c:numCache>
            </c:numRef>
          </c:xVal>
          <c:yVal>
            <c:numRef>
              <c:f>04_CALCULATIONS!$D$18:$D$33</c:f>
              <c:numCache>
                <c:formatCode>0.00</c:formatCode>
                <c:ptCount val="16"/>
                <c:pt idx="0">
                  <c:v>12.5897225593362</c:v>
                </c:pt>
                <c:pt idx="1">
                  <c:v>7.74499192152887</c:v>
                </c:pt>
                <c:pt idx="2">
                  <c:v>3.92000537548793</c:v>
                </c:pt>
                <c:pt idx="3">
                  <c:v>5.06049835860376</c:v>
                </c:pt>
                <c:pt idx="4">
                  <c:v>5.49759785345441</c:v>
                </c:pt>
                <c:pt idx="5">
                  <c:v>6.60869741190786</c:v>
                </c:pt>
                <c:pt idx="6">
                  <c:v>8.95924632654461</c:v>
                </c:pt>
                <c:pt idx="7">
                  <c:v>9.0919903643482</c:v>
                </c:pt>
                <c:pt idx="8">
                  <c:v>6.75736767424613</c:v>
                </c:pt>
                <c:pt idx="9">
                  <c:v>5.33745531975389</c:v>
                </c:pt>
                <c:pt idx="10">
                  <c:v>-1.07566234288528</c:v>
                </c:pt>
                <c:pt idx="11">
                  <c:v>12.3031677387779</c:v>
                </c:pt>
                <c:pt idx="12">
                  <c:v>7.40565016437489</c:v>
                </c:pt>
                <c:pt idx="13">
                  <c:v>3.716713714528</c:v>
                </c:pt>
                <c:pt idx="14">
                  <c:v>2.00034070114321</c:v>
                </c:pt>
                <c:pt idx="15">
                  <c:v>4.48112657246167</c:v>
                </c:pt>
              </c:numCache>
            </c:numRef>
          </c:yVal>
          <c:smooth val="0"/>
        </c:ser>
        <c:ser>
          <c:idx val="2"/>
          <c:order val="2"/>
          <c:tx>
            <c:strRef>
              <c:f>"Czechia"</c:f>
              <c:strCache>
                <c:ptCount val="1"/>
                <c:pt idx="0">
                  <c:v>Czechia</c:v>
                </c:pt>
              </c:strCache>
            </c:strRef>
          </c:tx>
          <c:spPr>
            <a:solidFill>
              <a:srgbClr val="008300"/>
            </a:solidFill>
            <a:ln w="47520">
              <a:noFill/>
            </a:ln>
          </c:spPr>
          <c:marker>
            <c:symbol val="triangle"/>
            <c:size val="7"/>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03_CLEAN_DATA!$N$34:$N$49</c:f>
              <c:numCache>
                <c:formatCode>0.00</c:formatCode>
                <c:ptCount val="16"/>
                <c:pt idx="0">
                  <c:v>4.81502985527419</c:v>
                </c:pt>
                <c:pt idx="1">
                  <c:v>1.80994155301699</c:v>
                </c:pt>
                <c:pt idx="2">
                  <c:v>4.48424380759869</c:v>
                </c:pt>
                <c:pt idx="3">
                  <c:v>3.45386726376292</c:v>
                </c:pt>
                <c:pt idx="4">
                  <c:v>3.83510153423089</c:v>
                </c:pt>
                <c:pt idx="5">
                  <c:v>0.898913491904098</c:v>
                </c:pt>
                <c:pt idx="6">
                  <c:v>5.47566421423918</c:v>
                </c:pt>
                <c:pt idx="7">
                  <c:v>5.07066240955503</c:v>
                </c:pt>
                <c:pt idx="8">
                  <c:v>3.30353998283407</c:v>
                </c:pt>
                <c:pt idx="9">
                  <c:v>4.18705737619001</c:v>
                </c:pt>
                <c:pt idx="10">
                  <c:v>3.39114066226469</c:v>
                </c:pt>
                <c:pt idx="11">
                  <c:v>4.43029524586196</c:v>
                </c:pt>
                <c:pt idx="12">
                  <c:v>3.02937517288668</c:v>
                </c:pt>
                <c:pt idx="13">
                  <c:v>3.4462419046487</c:v>
                </c:pt>
                <c:pt idx="14">
                  <c:v>3.8933976290188</c:v>
                </c:pt>
                <c:pt idx="15">
                  <c:v>2.68622429295406</c:v>
                </c:pt>
              </c:numCache>
            </c:numRef>
          </c:xVal>
          <c:yVal>
            <c:numRef>
              <c:f>04_CALCULATIONS!$D$34:$D$49</c:f>
              <c:numCache>
                <c:formatCode>0.00</c:formatCode>
                <c:ptCount val="16"/>
                <c:pt idx="0">
                  <c:v>14.6575067880562</c:v>
                </c:pt>
                <c:pt idx="1">
                  <c:v>9.16251804304127</c:v>
                </c:pt>
                <c:pt idx="2">
                  <c:v>4.28116143497319</c:v>
                </c:pt>
                <c:pt idx="3">
                  <c:v>0.25860507770501</c:v>
                </c:pt>
                <c:pt idx="4">
                  <c:v>8.72634203120317</c:v>
                </c:pt>
                <c:pt idx="5">
                  <c:v>5.91173316859568</c:v>
                </c:pt>
                <c:pt idx="6">
                  <c:v>4.13744263673597</c:v>
                </c:pt>
                <c:pt idx="7">
                  <c:v>7.10275452803149</c:v>
                </c:pt>
                <c:pt idx="8">
                  <c:v>3.50177596746721</c:v>
                </c:pt>
                <c:pt idx="9">
                  <c:v>1.31157012923468</c:v>
                </c:pt>
                <c:pt idx="10">
                  <c:v>-8.51612580418187</c:v>
                </c:pt>
                <c:pt idx="11">
                  <c:v>8.15308945199458</c:v>
                </c:pt>
                <c:pt idx="12">
                  <c:v>5.14899737013217</c:v>
                </c:pt>
                <c:pt idx="13">
                  <c:v>2.34796705681075</c:v>
                </c:pt>
                <c:pt idx="14">
                  <c:v>1.52528988187148</c:v>
                </c:pt>
                <c:pt idx="15">
                  <c:v>3.90217049622543</c:v>
                </c:pt>
              </c:numCache>
            </c:numRef>
          </c:yVal>
          <c:smooth val="0"/>
        </c:ser>
        <c:ser>
          <c:idx val="3"/>
          <c:order val="3"/>
          <c:tx>
            <c:strRef>
              <c:f>"Slovakia"</c:f>
              <c:strCache>
                <c:ptCount val="1"/>
                <c:pt idx="0">
                  <c:v>Slovakia</c:v>
                </c:pt>
              </c:strCache>
            </c:strRef>
          </c:tx>
          <c:spPr>
            <a:solidFill>
              <a:srgbClr val="eda100"/>
            </a:solidFill>
            <a:ln w="47520">
              <a:noFill/>
            </a:ln>
          </c:spPr>
          <c:marker>
            <c:symbol val="diamond"/>
            <c:size val="7"/>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03_CLEAN_DATA!$N$50:$N$65</c:f>
              <c:numCache>
                <c:formatCode>0.00</c:formatCode>
                <c:ptCount val="16"/>
                <c:pt idx="0">
                  <c:v>2.32222893370545</c:v>
                </c:pt>
                <c:pt idx="1">
                  <c:v>5.44765747649664</c:v>
                </c:pt>
                <c:pt idx="2">
                  <c:v>1.87551069035637</c:v>
                </c:pt>
                <c:pt idx="3">
                  <c:v>1.01266878582834</c:v>
                </c:pt>
                <c:pt idx="4">
                  <c:v>-0.356803047431846</c:v>
                </c:pt>
                <c:pt idx="5">
                  <c:v>1.70487122540291</c:v>
                </c:pt>
                <c:pt idx="6">
                  <c:v>5.27776400294759</c:v>
                </c:pt>
                <c:pt idx="7">
                  <c:v>4.39985852496708</c:v>
                </c:pt>
                <c:pt idx="8">
                  <c:v>2.11265589992234</c:v>
                </c:pt>
                <c:pt idx="9">
                  <c:v>2.15395426264868</c:v>
                </c:pt>
                <c:pt idx="10">
                  <c:v>-1.0597493247289</c:v>
                </c:pt>
                <c:pt idx="11">
                  <c:v>2.25687211693106</c:v>
                </c:pt>
                <c:pt idx="12">
                  <c:v>4.1687645379277</c:v>
                </c:pt>
                <c:pt idx="13">
                  <c:v>0.393859167717588</c:v>
                </c:pt>
                <c:pt idx="14">
                  <c:v>3.55503662060591</c:v>
                </c:pt>
                <c:pt idx="15">
                  <c:v>1.32903607891851</c:v>
                </c:pt>
              </c:numCache>
            </c:numRef>
          </c:xVal>
          <c:yVal>
            <c:numRef>
              <c:f>04_CALCULATIONS!$D$50:$D$65</c:f>
              <c:numCache>
                <c:formatCode>0.00</c:formatCode>
                <c:ptCount val="16"/>
                <c:pt idx="0">
                  <c:v>18.0367547456067</c:v>
                </c:pt>
                <c:pt idx="1">
                  <c:v>10.0895270805303</c:v>
                </c:pt>
                <c:pt idx="2">
                  <c:v>9.21016484852928</c:v>
                </c:pt>
                <c:pt idx="3">
                  <c:v>5.38152728766166</c:v>
                </c:pt>
                <c:pt idx="4">
                  <c:v>3.3012427962728</c:v>
                </c:pt>
                <c:pt idx="5">
                  <c:v>6.75241976116079</c:v>
                </c:pt>
                <c:pt idx="6">
                  <c:v>4.90247974739853</c:v>
                </c:pt>
                <c:pt idx="7">
                  <c:v>3.64169143263642</c:v>
                </c:pt>
                <c:pt idx="8">
                  <c:v>5.47642478511412</c:v>
                </c:pt>
                <c:pt idx="9">
                  <c:v>1.35655513267356</c:v>
                </c:pt>
                <c:pt idx="10">
                  <c:v>-6.35535306900036</c:v>
                </c:pt>
                <c:pt idx="11">
                  <c:v>10.6610621875004</c:v>
                </c:pt>
                <c:pt idx="12">
                  <c:v>2.76875182987879</c:v>
                </c:pt>
                <c:pt idx="13">
                  <c:v>-0.67278952020482</c:v>
                </c:pt>
                <c:pt idx="14">
                  <c:v>0.0224049023346495</c:v>
                </c:pt>
                <c:pt idx="15">
                  <c:v>3.98274673533641</c:v>
                </c:pt>
              </c:numCache>
            </c:numRef>
          </c:yVal>
          <c:smooth val="0"/>
        </c:ser>
        <c:axId val="44265651"/>
        <c:axId val="84779843"/>
      </c:scatterChart>
      <c:valAx>
        <c:axId val="44265651"/>
        <c:scaling>
          <c:orientation val="minMax"/>
          <c:max val="120"/>
          <c:min val="-60"/>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FDI net inflows, % of GDP</a:t>
                </a:r>
              </a:p>
            </c:rich>
          </c:tx>
          <c:overlay val="0"/>
          <c:spPr>
            <a:noFill/>
            <a:ln w="0">
              <a:noFill/>
            </a:ln>
          </c:spPr>
        </c:title>
        <c:numFmt formatCode="0"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4779843"/>
        <c:crosses val="autoZero"/>
        <c:crossBetween val="midCat"/>
      </c:valAx>
      <c:valAx>
        <c:axId val="84779843"/>
        <c:scaling>
          <c:orientation val="minMax"/>
          <c:max val="20"/>
          <c:min val="-1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Real export growth, %</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265651"/>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Excluding Hungary (supplementary)</a:t>
            </a:r>
          </a:p>
        </c:rich>
      </c:tx>
      <c:overlay val="0"/>
      <c:spPr>
        <a:noFill/>
        <a:ln w="0">
          <a:noFill/>
        </a:ln>
      </c:spPr>
    </c:title>
    <c:autoTitleDeleted val="0"/>
    <c:plotArea>
      <c:scatterChart>
        <c:scatterStyle val="lineMarker"/>
        <c:varyColors val="0"/>
        <c:ser>
          <c:idx val="0"/>
          <c:order val="0"/>
          <c:tx>
            <c:strRef>
              <c:f>"Poland"</c:f>
              <c:strCache>
                <c:ptCount val="1"/>
                <c:pt idx="0">
                  <c:v>Poland</c:v>
                </c:pt>
              </c:strCache>
            </c:strRef>
          </c:tx>
          <c:spPr>
            <a:solidFill>
              <a:srgbClr val="2a78d6"/>
            </a:solidFill>
            <a:ln w="47520">
              <a:noFill/>
            </a:ln>
          </c:spPr>
          <c:marker>
            <c:symbol val="square"/>
            <c:size val="7"/>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03_CLEAN_DATA!$N$18:$N$33</c:f>
              <c:numCache>
                <c:formatCode>0.00</c:formatCode>
                <c:ptCount val="16"/>
                <c:pt idx="0">
                  <c:v>3.94489462074706</c:v>
                </c:pt>
                <c:pt idx="1">
                  <c:v>3.57128957712437</c:v>
                </c:pt>
                <c:pt idx="2">
                  <c:v>1.52886091421625</c:v>
                </c:pt>
                <c:pt idx="3">
                  <c:v>0.258983446617592</c:v>
                </c:pt>
                <c:pt idx="4">
                  <c:v>3.85089176515991</c:v>
                </c:pt>
                <c:pt idx="5">
                  <c:v>3.29546177974363</c:v>
                </c:pt>
                <c:pt idx="6">
                  <c:v>3.81608721408819</c:v>
                </c:pt>
                <c:pt idx="7">
                  <c:v>2.37812815599278</c:v>
                </c:pt>
                <c:pt idx="8">
                  <c:v>3.34803954559233</c:v>
                </c:pt>
                <c:pt idx="9">
                  <c:v>3.15455649244208</c:v>
                </c:pt>
                <c:pt idx="10">
                  <c:v>3.31499059495462</c:v>
                </c:pt>
                <c:pt idx="11">
                  <c:v>5.44306737738578</c:v>
                </c:pt>
                <c:pt idx="12">
                  <c:v>6.00626096603428</c:v>
                </c:pt>
                <c:pt idx="13">
                  <c:v>4.38918673390545</c:v>
                </c:pt>
                <c:pt idx="14">
                  <c:v>2.24523191798779</c:v>
                </c:pt>
                <c:pt idx="15">
                  <c:v>2.02222753667037</c:v>
                </c:pt>
              </c:numCache>
            </c:numRef>
          </c:xVal>
          <c:yVal>
            <c:numRef>
              <c:f>04_CALCULATIONS!$D$18:$D$33</c:f>
              <c:numCache>
                <c:formatCode>0.00</c:formatCode>
                <c:ptCount val="16"/>
                <c:pt idx="0">
                  <c:v>12.5897225593362</c:v>
                </c:pt>
                <c:pt idx="1">
                  <c:v>7.74499192152887</c:v>
                </c:pt>
                <c:pt idx="2">
                  <c:v>3.92000537548793</c:v>
                </c:pt>
                <c:pt idx="3">
                  <c:v>5.06049835860376</c:v>
                </c:pt>
                <c:pt idx="4">
                  <c:v>5.49759785345441</c:v>
                </c:pt>
                <c:pt idx="5">
                  <c:v>6.60869741190786</c:v>
                </c:pt>
                <c:pt idx="6">
                  <c:v>8.95924632654461</c:v>
                </c:pt>
                <c:pt idx="7">
                  <c:v>9.0919903643482</c:v>
                </c:pt>
                <c:pt idx="8">
                  <c:v>6.75736767424613</c:v>
                </c:pt>
                <c:pt idx="9">
                  <c:v>5.33745531975389</c:v>
                </c:pt>
                <c:pt idx="10">
                  <c:v>-1.07566234288528</c:v>
                </c:pt>
                <c:pt idx="11">
                  <c:v>12.3031677387779</c:v>
                </c:pt>
                <c:pt idx="12">
                  <c:v>7.40565016437489</c:v>
                </c:pt>
                <c:pt idx="13">
                  <c:v>3.716713714528</c:v>
                </c:pt>
                <c:pt idx="14">
                  <c:v>2.00034070114321</c:v>
                </c:pt>
                <c:pt idx="15">
                  <c:v>4.48112657246167</c:v>
                </c:pt>
              </c:numCache>
            </c:numRef>
          </c:yVal>
          <c:smooth val="0"/>
        </c:ser>
        <c:ser>
          <c:idx val="1"/>
          <c:order val="1"/>
          <c:tx>
            <c:strRef>
              <c:f>"Czechia"</c:f>
              <c:strCache>
                <c:ptCount val="1"/>
                <c:pt idx="0">
                  <c:v>Czechia</c:v>
                </c:pt>
              </c:strCache>
            </c:strRef>
          </c:tx>
          <c:spPr>
            <a:solidFill>
              <a:srgbClr val="008300"/>
            </a:solidFill>
            <a:ln w="47520">
              <a:noFill/>
            </a:ln>
          </c:spPr>
          <c:marker>
            <c:symbol val="triangle"/>
            <c:size val="7"/>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03_CLEAN_DATA!$N$34:$N$49</c:f>
              <c:numCache>
                <c:formatCode>0.00</c:formatCode>
                <c:ptCount val="16"/>
                <c:pt idx="0">
                  <c:v>4.81502985527419</c:v>
                </c:pt>
                <c:pt idx="1">
                  <c:v>1.80994155301699</c:v>
                </c:pt>
                <c:pt idx="2">
                  <c:v>4.48424380759869</c:v>
                </c:pt>
                <c:pt idx="3">
                  <c:v>3.45386726376292</c:v>
                </c:pt>
                <c:pt idx="4">
                  <c:v>3.83510153423089</c:v>
                </c:pt>
                <c:pt idx="5">
                  <c:v>0.898913491904098</c:v>
                </c:pt>
                <c:pt idx="6">
                  <c:v>5.47566421423918</c:v>
                </c:pt>
                <c:pt idx="7">
                  <c:v>5.07066240955503</c:v>
                </c:pt>
                <c:pt idx="8">
                  <c:v>3.30353998283407</c:v>
                </c:pt>
                <c:pt idx="9">
                  <c:v>4.18705737619001</c:v>
                </c:pt>
                <c:pt idx="10">
                  <c:v>3.39114066226469</c:v>
                </c:pt>
                <c:pt idx="11">
                  <c:v>4.43029524586196</c:v>
                </c:pt>
                <c:pt idx="12">
                  <c:v>3.02937517288668</c:v>
                </c:pt>
                <c:pt idx="13">
                  <c:v>3.4462419046487</c:v>
                </c:pt>
                <c:pt idx="14">
                  <c:v>3.8933976290188</c:v>
                </c:pt>
                <c:pt idx="15">
                  <c:v>2.68622429295406</c:v>
                </c:pt>
              </c:numCache>
            </c:numRef>
          </c:xVal>
          <c:yVal>
            <c:numRef>
              <c:f>04_CALCULATIONS!$D$34:$D$49</c:f>
              <c:numCache>
                <c:formatCode>0.00</c:formatCode>
                <c:ptCount val="16"/>
                <c:pt idx="0">
                  <c:v>14.6575067880562</c:v>
                </c:pt>
                <c:pt idx="1">
                  <c:v>9.16251804304127</c:v>
                </c:pt>
                <c:pt idx="2">
                  <c:v>4.28116143497319</c:v>
                </c:pt>
                <c:pt idx="3">
                  <c:v>0.25860507770501</c:v>
                </c:pt>
                <c:pt idx="4">
                  <c:v>8.72634203120317</c:v>
                </c:pt>
                <c:pt idx="5">
                  <c:v>5.91173316859568</c:v>
                </c:pt>
                <c:pt idx="6">
                  <c:v>4.13744263673597</c:v>
                </c:pt>
                <c:pt idx="7">
                  <c:v>7.10275452803149</c:v>
                </c:pt>
                <c:pt idx="8">
                  <c:v>3.50177596746721</c:v>
                </c:pt>
                <c:pt idx="9">
                  <c:v>1.31157012923468</c:v>
                </c:pt>
                <c:pt idx="10">
                  <c:v>-8.51612580418187</c:v>
                </c:pt>
                <c:pt idx="11">
                  <c:v>8.15308945199458</c:v>
                </c:pt>
                <c:pt idx="12">
                  <c:v>5.14899737013217</c:v>
                </c:pt>
                <c:pt idx="13">
                  <c:v>2.34796705681075</c:v>
                </c:pt>
                <c:pt idx="14">
                  <c:v>1.52528988187148</c:v>
                </c:pt>
                <c:pt idx="15">
                  <c:v>3.90217049622543</c:v>
                </c:pt>
              </c:numCache>
            </c:numRef>
          </c:yVal>
          <c:smooth val="0"/>
        </c:ser>
        <c:ser>
          <c:idx val="2"/>
          <c:order val="2"/>
          <c:tx>
            <c:strRef>
              <c:f>"Slovakia"</c:f>
              <c:strCache>
                <c:ptCount val="1"/>
                <c:pt idx="0">
                  <c:v>Slovakia</c:v>
                </c:pt>
              </c:strCache>
            </c:strRef>
          </c:tx>
          <c:spPr>
            <a:solidFill>
              <a:srgbClr val="eda100"/>
            </a:solidFill>
            <a:ln w="47520">
              <a:noFill/>
            </a:ln>
          </c:spPr>
          <c:marker>
            <c:symbol val="diamond"/>
            <c:size val="7"/>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03_CLEAN_DATA!$N$50:$N$65</c:f>
              <c:numCache>
                <c:formatCode>0.00</c:formatCode>
                <c:ptCount val="16"/>
                <c:pt idx="0">
                  <c:v>2.32222893370545</c:v>
                </c:pt>
                <c:pt idx="1">
                  <c:v>5.44765747649664</c:v>
                </c:pt>
                <c:pt idx="2">
                  <c:v>1.87551069035637</c:v>
                </c:pt>
                <c:pt idx="3">
                  <c:v>1.01266878582834</c:v>
                </c:pt>
                <c:pt idx="4">
                  <c:v>-0.356803047431846</c:v>
                </c:pt>
                <c:pt idx="5">
                  <c:v>1.70487122540291</c:v>
                </c:pt>
                <c:pt idx="6">
                  <c:v>5.27776400294759</c:v>
                </c:pt>
                <c:pt idx="7">
                  <c:v>4.39985852496708</c:v>
                </c:pt>
                <c:pt idx="8">
                  <c:v>2.11265589992234</c:v>
                </c:pt>
                <c:pt idx="9">
                  <c:v>2.15395426264868</c:v>
                </c:pt>
                <c:pt idx="10">
                  <c:v>-1.0597493247289</c:v>
                </c:pt>
                <c:pt idx="11">
                  <c:v>2.25687211693106</c:v>
                </c:pt>
                <c:pt idx="12">
                  <c:v>4.1687645379277</c:v>
                </c:pt>
                <c:pt idx="13">
                  <c:v>0.393859167717588</c:v>
                </c:pt>
                <c:pt idx="14">
                  <c:v>3.55503662060591</c:v>
                </c:pt>
                <c:pt idx="15">
                  <c:v>1.32903607891851</c:v>
                </c:pt>
              </c:numCache>
            </c:numRef>
          </c:xVal>
          <c:yVal>
            <c:numRef>
              <c:f>04_CALCULATIONS!$D$50:$D$65</c:f>
              <c:numCache>
                <c:formatCode>0.00</c:formatCode>
                <c:ptCount val="16"/>
                <c:pt idx="0">
                  <c:v>18.0367547456067</c:v>
                </c:pt>
                <c:pt idx="1">
                  <c:v>10.0895270805303</c:v>
                </c:pt>
                <c:pt idx="2">
                  <c:v>9.21016484852928</c:v>
                </c:pt>
                <c:pt idx="3">
                  <c:v>5.38152728766166</c:v>
                </c:pt>
                <c:pt idx="4">
                  <c:v>3.3012427962728</c:v>
                </c:pt>
                <c:pt idx="5">
                  <c:v>6.75241976116079</c:v>
                </c:pt>
                <c:pt idx="6">
                  <c:v>4.90247974739853</c:v>
                </c:pt>
                <c:pt idx="7">
                  <c:v>3.64169143263642</c:v>
                </c:pt>
                <c:pt idx="8">
                  <c:v>5.47642478511412</c:v>
                </c:pt>
                <c:pt idx="9">
                  <c:v>1.35655513267356</c:v>
                </c:pt>
                <c:pt idx="10">
                  <c:v>-6.35535306900036</c:v>
                </c:pt>
                <c:pt idx="11">
                  <c:v>10.6610621875004</c:v>
                </c:pt>
                <c:pt idx="12">
                  <c:v>2.76875182987879</c:v>
                </c:pt>
                <c:pt idx="13">
                  <c:v>-0.67278952020482</c:v>
                </c:pt>
                <c:pt idx="14">
                  <c:v>0.0224049023346495</c:v>
                </c:pt>
                <c:pt idx="15">
                  <c:v>3.98274673533641</c:v>
                </c:pt>
              </c:numCache>
            </c:numRef>
          </c:yVal>
          <c:smooth val="0"/>
        </c:ser>
        <c:axId val="89348787"/>
        <c:axId val="47699130"/>
      </c:scatterChart>
      <c:valAx>
        <c:axId val="89348787"/>
        <c:scaling>
          <c:orientation val="minMax"/>
          <c:max val="8"/>
          <c:min val="-2"/>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FDI net inflows, % of GDP</a:t>
                </a:r>
              </a:p>
            </c:rich>
          </c:tx>
          <c:overlay val="0"/>
          <c:spPr>
            <a:noFill/>
            <a:ln w="0">
              <a:noFill/>
            </a:ln>
          </c:spPr>
        </c:title>
        <c:numFmt formatCode="0"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7699130"/>
        <c:crosses val="autoZero"/>
        <c:crossBetween val="midCat"/>
      </c:valAx>
      <c:valAx>
        <c:axId val="47699130"/>
        <c:scaling>
          <c:orientation val="minMax"/>
          <c:max val="20"/>
          <c:min val="-1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Real export growth, %</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348787"/>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exports, 2010 = 100</a:t>
            </a:r>
          </a:p>
        </c:rich>
      </c:tx>
      <c:overlay val="0"/>
      <c:spPr>
        <a:noFill/>
        <a:ln w="0">
          <a:noFill/>
        </a:ln>
      </c:spPr>
    </c:title>
    <c:autoTitleDeleted val="0"/>
    <c:plotArea>
      <c:lineChart>
        <c:grouping val="standard"/>
        <c:varyColors val="0"/>
        <c:ser>
          <c:idx val="0"/>
          <c:order val="0"/>
          <c:tx>
            <c:strRef>
              <c:f>"Hungary"</c:f>
              <c:strCache>
                <c:ptCount val="1"/>
                <c:pt idx="0">
                  <c:v>Hungary</c:v>
                </c:pt>
              </c:strCache>
            </c:strRef>
          </c:tx>
          <c:spPr>
            <a:solidFill>
              <a:srgbClr val="e34948"/>
            </a:solidFill>
            <a:ln w="21960">
              <a:solidFill>
                <a:srgbClr val="e34948"/>
              </a:solidFill>
              <a:round/>
            </a:ln>
          </c:spPr>
          <c:marker>
            <c:symbol val="circle"/>
            <c:size val="5"/>
            <c:spPr>
              <a:solidFill>
                <a:srgbClr val="e349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04_CALCULATIONS!$H$2:$H$17</c:f>
              <c:numCache>
                <c:formatCode>0.0</c:formatCode>
                <c:ptCount val="16"/>
                <c:pt idx="0">
                  <c:v>100</c:v>
                </c:pt>
                <c:pt idx="1">
                  <c:v>106.413955036678</c:v>
                </c:pt>
                <c:pt idx="2">
                  <c:v>104.603326373598</c:v>
                </c:pt>
                <c:pt idx="3">
                  <c:v>108.869807407059</c:v>
                </c:pt>
                <c:pt idx="4">
                  <c:v>118.888090648217</c:v>
                </c:pt>
                <c:pt idx="5">
                  <c:v>127.641548537579</c:v>
                </c:pt>
                <c:pt idx="6">
                  <c:v>132.494762025155</c:v>
                </c:pt>
                <c:pt idx="7">
                  <c:v>141.080065190857</c:v>
                </c:pt>
                <c:pt idx="8">
                  <c:v>148.120656786568</c:v>
                </c:pt>
                <c:pt idx="9">
                  <c:v>156.203657331564</c:v>
                </c:pt>
                <c:pt idx="10">
                  <c:v>146.605340100835</c:v>
                </c:pt>
                <c:pt idx="11">
                  <c:v>158.686221537087</c:v>
                </c:pt>
                <c:pt idx="12">
                  <c:v>175.723329838329</c:v>
                </c:pt>
                <c:pt idx="13">
                  <c:v>178.912162588466</c:v>
                </c:pt>
                <c:pt idx="14">
                  <c:v>178.00968955706</c:v>
                </c:pt>
                <c:pt idx="15">
                  <c:v>176.082200663305</c:v>
                </c:pt>
              </c:numCache>
            </c:numRef>
          </c:val>
          <c:smooth val="0"/>
        </c:ser>
        <c:ser>
          <c:idx val="1"/>
          <c:order val="1"/>
          <c:tx>
            <c:strRef>
              <c:f>"Poland"</c:f>
              <c:strCache>
                <c:ptCount val="1"/>
                <c:pt idx="0">
                  <c:v>Poland</c:v>
                </c:pt>
              </c:strCache>
            </c:strRef>
          </c:tx>
          <c:spPr>
            <a:solidFill>
              <a:srgbClr val="2a78d6"/>
            </a:solidFill>
            <a:ln w="21960">
              <a:solidFill>
                <a:srgbClr val="2a78d6"/>
              </a:solidFill>
              <a:round/>
            </a:ln>
          </c:spPr>
          <c:marker>
            <c:symbol val="squar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04_CALCULATIONS!$H$18:$H$33</c:f>
              <c:numCache>
                <c:formatCode>0.0</c:formatCode>
                <c:ptCount val="16"/>
                <c:pt idx="0">
                  <c:v>100</c:v>
                </c:pt>
                <c:pt idx="1">
                  <c:v>107.744991921529</c:v>
                </c:pt>
                <c:pt idx="2">
                  <c:v>111.968601396672</c:v>
                </c:pt>
                <c:pt idx="3">
                  <c:v>117.634770632502</c:v>
                </c:pt>
                <c:pt idx="4">
                  <c:v>124.10185725771</c:v>
                </c:pt>
                <c:pt idx="5">
                  <c:v>132.30337348643</c:v>
                </c:pt>
                <c:pt idx="6">
                  <c:v>144.156758615408</c:v>
                </c:pt>
                <c:pt idx="7">
                  <c:v>157.263477218278</c:v>
                </c:pt>
                <c:pt idx="8">
                  <c:v>167.890348591221</c:v>
                </c:pt>
                <c:pt idx="9">
                  <c:v>176.851420933456</c:v>
                </c:pt>
                <c:pt idx="10">
                  <c:v>174.949096795618</c:v>
                </c:pt>
                <c:pt idx="11">
                  <c:v>196.473377631859</c:v>
                </c:pt>
                <c:pt idx="12">
                  <c:v>211.023508645406</c:v>
                </c:pt>
                <c:pt idx="13">
                  <c:v>218.866648332108</c:v>
                </c:pt>
                <c:pt idx="14">
                  <c:v>223.244726979923</c:v>
                </c:pt>
                <c:pt idx="15">
                  <c:v>233.24860576224</c:v>
                </c:pt>
              </c:numCache>
            </c:numRef>
          </c:val>
          <c:smooth val="0"/>
        </c:ser>
        <c:ser>
          <c:idx val="2"/>
          <c:order val="2"/>
          <c:tx>
            <c:strRef>
              <c:f>"Czechia"</c:f>
              <c:strCache>
                <c:ptCount val="1"/>
                <c:pt idx="0">
                  <c:v>Czechia</c:v>
                </c:pt>
              </c:strCache>
            </c:strRef>
          </c:tx>
          <c:spPr>
            <a:solidFill>
              <a:srgbClr val="008300"/>
            </a:solidFill>
            <a:ln w="21960">
              <a:solidFill>
                <a:srgbClr val="008300"/>
              </a:solidFill>
              <a:round/>
            </a:ln>
          </c:spPr>
          <c:marker>
            <c:symbol val="triangle"/>
            <c:size val="5"/>
            <c:spPr>
              <a:solidFill>
                <a:srgbClr val="0083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04_CALCULATIONS!$H$34:$H$49</c:f>
              <c:numCache>
                <c:formatCode>0.0</c:formatCode>
                <c:ptCount val="16"/>
                <c:pt idx="0">
                  <c:v>100</c:v>
                </c:pt>
                <c:pt idx="1">
                  <c:v>109.162518043041</c:v>
                </c:pt>
                <c:pt idx="2">
                  <c:v>113.835941666946</c:v>
                </c:pt>
                <c:pt idx="3">
                  <c:v>114.13032719235</c:v>
                </c:pt>
                <c:pt idx="4">
                  <c:v>124.089729904485</c:v>
                </c:pt>
                <c:pt idx="5">
                  <c:v>131.42558362607</c:v>
                </c:pt>
                <c:pt idx="6">
                  <c:v>136.863241758594</c:v>
                </c:pt>
                <c:pt idx="7">
                  <c:v>146.584301859813</c:v>
                </c:pt>
                <c:pt idx="8">
                  <c:v>151.717355714419</c:v>
                </c:pt>
                <c:pt idx="9">
                  <c:v>153.707235232834</c:v>
                </c:pt>
                <c:pt idx="10">
                  <c:v>140.617333710276</c:v>
                </c:pt>
                <c:pt idx="11">
                  <c:v>152.081990712685</c:v>
                </c:pt>
                <c:pt idx="12">
                  <c:v>159.912688414926</c:v>
                </c:pt>
                <c:pt idx="13">
                  <c:v>163.667385658569</c:v>
                </c:pt>
                <c:pt idx="14">
                  <c:v>166.163787731942</c:v>
                </c:pt>
                <c:pt idx="15">
                  <c:v>172.647782032229</c:v>
                </c:pt>
              </c:numCache>
            </c:numRef>
          </c:val>
          <c:smooth val="0"/>
        </c:ser>
        <c:ser>
          <c:idx val="3"/>
          <c:order val="3"/>
          <c:tx>
            <c:strRef>
              <c:f>"Slovakia"</c:f>
              <c:strCache>
                <c:ptCount val="1"/>
                <c:pt idx="0">
                  <c:v>Slovakia</c:v>
                </c:pt>
              </c:strCache>
            </c:strRef>
          </c:tx>
          <c:spPr>
            <a:solidFill>
              <a:srgbClr val="eda100"/>
            </a:solidFill>
            <a:ln w="21960">
              <a:solidFill>
                <a:srgbClr val="eda100"/>
              </a:solidFill>
              <a:round/>
            </a:ln>
          </c:spPr>
          <c:marker>
            <c:symbol val="diamond"/>
            <c:size val="5"/>
            <c:spPr>
              <a:solidFill>
                <a:srgbClr val="eda1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03_CLEAN_DATA!$C$2:$C$17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04_CALCULATIONS!$H$50:$H$65</c:f>
              <c:numCache>
                <c:formatCode>0.0</c:formatCode>
                <c:ptCount val="16"/>
                <c:pt idx="0">
                  <c:v>100</c:v>
                </c:pt>
                <c:pt idx="1">
                  <c:v>110.08952708053</c:v>
                </c:pt>
                <c:pt idx="2">
                  <c:v>120.228954005613</c:v>
                </c:pt>
                <c:pt idx="3">
                  <c:v>126.699107973096</c:v>
                </c:pt>
                <c:pt idx="4">
                  <c:v>130.881753147999</c:v>
                </c:pt>
                <c:pt idx="5">
                  <c:v>139.719438511319</c:v>
                </c:pt>
                <c:pt idx="6">
                  <c:v>146.569155687515</c:v>
                </c:pt>
                <c:pt idx="7">
                  <c:v>151.906752073075</c:v>
                </c:pt>
                <c:pt idx="8">
                  <c:v>160.225811093867</c:v>
                </c:pt>
                <c:pt idx="9">
                  <c:v>162.399362558128</c:v>
                </c:pt>
                <c:pt idx="10">
                  <c:v>152.078309685753</c:v>
                </c:pt>
                <c:pt idx="11">
                  <c:v>168.291472855051</c:v>
                </c:pt>
                <c:pt idx="12">
                  <c:v>172.951046089255</c:v>
                </c:pt>
                <c:pt idx="13">
                  <c:v>171.787449576082</c:v>
                </c:pt>
                <c:pt idx="14">
                  <c:v>171.825938386383</c:v>
                </c:pt>
                <c:pt idx="15">
                  <c:v>178.669330337927</c:v>
                </c:pt>
              </c:numCache>
            </c:numRef>
          </c:val>
          <c:smooth val="0"/>
        </c:ser>
        <c:hiLowLines>
          <c:spPr>
            <a:ln w="0">
              <a:noFill/>
            </a:ln>
          </c:spPr>
        </c:hiLowLines>
        <c:marker val="1"/>
        <c:axId val="30261255"/>
        <c:axId val="81294469"/>
      </c:lineChart>
      <c:catAx>
        <c:axId val="3026125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1294469"/>
        <c:crosses val="autoZero"/>
        <c:auto val="1"/>
        <c:lblAlgn val="ctr"/>
        <c:lblOffset val="100"/>
        <c:noMultiLvlLbl val="0"/>
      </c:catAx>
      <c:valAx>
        <c:axId val="81294469"/>
        <c:scaling>
          <c:orientation val="minMax"/>
          <c:max val="250"/>
          <c:min val="8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 2010 = 100</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26125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160560</xdr:rowOff>
    </xdr:from>
    <xdr:to>
      <xdr:col>9</xdr:col>
      <xdr:colOff>381600</xdr:colOff>
      <xdr:row>15</xdr:row>
      <xdr:rowOff>170280</xdr:rowOff>
    </xdr:to>
    <xdr:graphicFrame>
      <xdr:nvGraphicFramePr>
        <xdr:cNvPr id="0" name="Chart 1"/>
        <xdr:cNvGraphicFramePr/>
      </xdr:nvGraphicFramePr>
      <xdr:xfrm>
        <a:off x="0" y="1076400"/>
        <a:ext cx="61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27</xdr:row>
      <xdr:rowOff>160560</xdr:rowOff>
    </xdr:from>
    <xdr:to>
      <xdr:col>9</xdr:col>
      <xdr:colOff>381600</xdr:colOff>
      <xdr:row>40</xdr:row>
      <xdr:rowOff>27360</xdr:rowOff>
    </xdr:to>
    <xdr:graphicFrame>
      <xdr:nvGraphicFramePr>
        <xdr:cNvPr id="1" name="Chart 2"/>
        <xdr:cNvGraphicFramePr/>
      </xdr:nvGraphicFramePr>
      <xdr:xfrm>
        <a:off x="0" y="6772320"/>
        <a:ext cx="611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51</xdr:row>
      <xdr:rowOff>160920</xdr:rowOff>
    </xdr:from>
    <xdr:to>
      <xdr:col>9</xdr:col>
      <xdr:colOff>381600</xdr:colOff>
      <xdr:row>63</xdr:row>
      <xdr:rowOff>170640</xdr:rowOff>
    </xdr:to>
    <xdr:graphicFrame>
      <xdr:nvGraphicFramePr>
        <xdr:cNvPr id="2" name="Chart 3"/>
        <xdr:cNvGraphicFramePr/>
      </xdr:nvGraphicFramePr>
      <xdr:xfrm>
        <a:off x="0" y="12420720"/>
        <a:ext cx="611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75</xdr:row>
      <xdr:rowOff>160920</xdr:rowOff>
    </xdr:from>
    <xdr:to>
      <xdr:col>7</xdr:col>
      <xdr:colOff>164880</xdr:colOff>
      <xdr:row>87</xdr:row>
      <xdr:rowOff>27720</xdr:rowOff>
    </xdr:to>
    <xdr:graphicFrame>
      <xdr:nvGraphicFramePr>
        <xdr:cNvPr id="3" name="Chart 4"/>
        <xdr:cNvGraphicFramePr/>
      </xdr:nvGraphicFramePr>
      <xdr:xfrm>
        <a:off x="0" y="18116640"/>
        <a:ext cx="4679640" cy="34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95</xdr:row>
      <xdr:rowOff>160560</xdr:rowOff>
    </xdr:from>
    <xdr:to>
      <xdr:col>7</xdr:col>
      <xdr:colOff>164880</xdr:colOff>
      <xdr:row>113</xdr:row>
      <xdr:rowOff>151200</xdr:rowOff>
    </xdr:to>
    <xdr:graphicFrame>
      <xdr:nvGraphicFramePr>
        <xdr:cNvPr id="4" name="Chart 5"/>
        <xdr:cNvGraphicFramePr/>
      </xdr:nvGraphicFramePr>
      <xdr:xfrm>
        <a:off x="0" y="23193360"/>
        <a:ext cx="4679640" cy="341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119</xdr:row>
      <xdr:rowOff>160560</xdr:rowOff>
    </xdr:from>
    <xdr:to>
      <xdr:col>9</xdr:col>
      <xdr:colOff>381600</xdr:colOff>
      <xdr:row>130</xdr:row>
      <xdr:rowOff>75240</xdr:rowOff>
    </xdr:to>
    <xdr:graphicFrame>
      <xdr:nvGraphicFramePr>
        <xdr:cNvPr id="5" name="Chart 6"/>
        <xdr:cNvGraphicFramePr/>
      </xdr:nvGraphicFramePr>
      <xdr:xfrm>
        <a:off x="0" y="27765360"/>
        <a:ext cx="6119640" cy="34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143</xdr:row>
      <xdr:rowOff>160560</xdr:rowOff>
    </xdr:from>
    <xdr:to>
      <xdr:col>9</xdr:col>
      <xdr:colOff>381600</xdr:colOff>
      <xdr:row>155</xdr:row>
      <xdr:rowOff>8640</xdr:rowOff>
    </xdr:to>
    <xdr:graphicFrame>
      <xdr:nvGraphicFramePr>
        <xdr:cNvPr id="6" name="Chart 7"/>
        <xdr:cNvGraphicFramePr/>
      </xdr:nvGraphicFramePr>
      <xdr:xfrm>
        <a:off x="0" y="33747120"/>
        <a:ext cx="6119640" cy="341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167</xdr:row>
      <xdr:rowOff>160920</xdr:rowOff>
    </xdr:from>
    <xdr:to>
      <xdr:col>7</xdr:col>
      <xdr:colOff>164880</xdr:colOff>
      <xdr:row>180</xdr:row>
      <xdr:rowOff>637200</xdr:rowOff>
    </xdr:to>
    <xdr:graphicFrame>
      <xdr:nvGraphicFramePr>
        <xdr:cNvPr id="7" name="Chart 8"/>
        <xdr:cNvGraphicFramePr/>
      </xdr:nvGraphicFramePr>
      <xdr:xfrm>
        <a:off x="0" y="39605040"/>
        <a:ext cx="4679640" cy="341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187</xdr:row>
      <xdr:rowOff>160920</xdr:rowOff>
    </xdr:from>
    <xdr:to>
      <xdr:col>7</xdr:col>
      <xdr:colOff>164880</xdr:colOff>
      <xdr:row>205</xdr:row>
      <xdr:rowOff>151560</xdr:rowOff>
    </xdr:to>
    <xdr:graphicFrame>
      <xdr:nvGraphicFramePr>
        <xdr:cNvPr id="8" name="Chart 9"/>
        <xdr:cNvGraphicFramePr/>
      </xdr:nvGraphicFramePr>
      <xdr:xfrm>
        <a:off x="0" y="44653320"/>
        <a:ext cx="4679640" cy="341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219</xdr:row>
      <xdr:rowOff>160560</xdr:rowOff>
    </xdr:from>
    <xdr:to>
      <xdr:col>9</xdr:col>
      <xdr:colOff>381600</xdr:colOff>
      <xdr:row>231</xdr:row>
      <xdr:rowOff>56160</xdr:rowOff>
    </xdr:to>
    <xdr:graphicFrame>
      <xdr:nvGraphicFramePr>
        <xdr:cNvPr id="9" name="Chart 10"/>
        <xdr:cNvGraphicFramePr/>
      </xdr:nvGraphicFramePr>
      <xdr:xfrm>
        <a:off x="0" y="50749200"/>
        <a:ext cx="6119640" cy="3419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22"/>
    <col collapsed="false" customWidth="true" hidden="false" outlineLevel="0" max="4" min="4" style="0" width="56"/>
    <col collapsed="false" customWidth="true" hidden="false" outlineLevel="0" max="5" min="5" style="0" width="18"/>
    <col collapsed="false" customWidth="true" hidden="false" outlineLevel="0" max="6" min="6" style="0" width="28"/>
    <col collapsed="false" customWidth="true" hidden="false" outlineLevel="0" max="7" min="7"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2" t="s">
        <v>2</v>
      </c>
      <c r="B4" s="3" t="s">
        <v>3</v>
      </c>
      <c r="C4" s="3"/>
      <c r="D4" s="3"/>
      <c r="E4" s="3"/>
      <c r="F4" s="3"/>
      <c r="G4" s="3"/>
    </row>
    <row r="5" customFormat="false" ht="30" hidden="false" customHeight="true" outlineLevel="0" collapsed="false">
      <c r="A5" s="2" t="s">
        <v>4</v>
      </c>
      <c r="B5" s="3" t="s">
        <v>5</v>
      </c>
      <c r="C5" s="3"/>
      <c r="D5" s="3"/>
      <c r="E5" s="3"/>
      <c r="F5" s="3"/>
      <c r="G5" s="3"/>
    </row>
    <row r="6" customFormat="false" ht="30" hidden="false" customHeight="true" outlineLevel="0" collapsed="false">
      <c r="A6" s="2" t="s">
        <v>6</v>
      </c>
      <c r="B6" s="3" t="s">
        <v>7</v>
      </c>
      <c r="C6" s="3"/>
      <c r="D6" s="3"/>
      <c r="E6" s="3"/>
      <c r="F6" s="3"/>
      <c r="G6" s="3"/>
    </row>
    <row r="7" customFormat="false" ht="30" hidden="false" customHeight="true" outlineLevel="0" collapsed="false">
      <c r="A7" s="2" t="s">
        <v>8</v>
      </c>
      <c r="B7" s="3" t="s">
        <v>9</v>
      </c>
      <c r="C7" s="3"/>
      <c r="D7" s="3"/>
      <c r="E7" s="3"/>
      <c r="F7" s="3"/>
      <c r="G7" s="3"/>
    </row>
    <row r="8" customFormat="false" ht="30" hidden="false" customHeight="true" outlineLevel="0" collapsed="false">
      <c r="A8" s="2" t="s">
        <v>10</v>
      </c>
      <c r="B8" s="3" t="s">
        <v>11</v>
      </c>
      <c r="C8" s="3"/>
      <c r="D8" s="3"/>
      <c r="E8" s="3"/>
      <c r="F8" s="3"/>
      <c r="G8" s="3"/>
    </row>
    <row r="9" customFormat="false" ht="30" hidden="false" customHeight="true" outlineLevel="0" collapsed="false">
      <c r="A9" s="2" t="s">
        <v>12</v>
      </c>
      <c r="B9" s="3" t="s">
        <v>13</v>
      </c>
      <c r="C9" s="3"/>
      <c r="D9" s="3"/>
      <c r="E9" s="3"/>
      <c r="F9" s="3"/>
      <c r="G9" s="3"/>
    </row>
    <row r="10" customFormat="false" ht="30" hidden="false" customHeight="true" outlineLevel="0" collapsed="false">
      <c r="A10" s="2" t="s">
        <v>14</v>
      </c>
      <c r="B10" s="3" t="s">
        <v>15</v>
      </c>
      <c r="C10" s="3"/>
      <c r="D10" s="3"/>
      <c r="E10" s="3"/>
      <c r="F10" s="3"/>
      <c r="G10" s="3"/>
    </row>
    <row r="11" customFormat="false" ht="30" hidden="false" customHeight="true" outlineLevel="0" collapsed="false">
      <c r="A11" s="2" t="s">
        <v>16</v>
      </c>
      <c r="B11" s="3" t="s">
        <v>17</v>
      </c>
      <c r="C11" s="3"/>
      <c r="D11" s="3"/>
      <c r="E11" s="3"/>
      <c r="F11" s="3"/>
      <c r="G11" s="3"/>
    </row>
    <row r="12" customFormat="false" ht="30" hidden="false" customHeight="true" outlineLevel="0" collapsed="false">
      <c r="A12" s="2" t="s">
        <v>18</v>
      </c>
      <c r="B12" s="3" t="s">
        <v>19</v>
      </c>
      <c r="C12" s="3"/>
      <c r="D12" s="3"/>
      <c r="E12" s="3"/>
      <c r="F12" s="3"/>
      <c r="G12" s="3"/>
    </row>
    <row r="13" customFormat="false" ht="30" hidden="false" customHeight="true" outlineLevel="0" collapsed="false">
      <c r="A13" s="2" t="s">
        <v>20</v>
      </c>
      <c r="B13" s="3" t="s">
        <v>21</v>
      </c>
      <c r="C13" s="3"/>
      <c r="D13" s="3"/>
      <c r="E13" s="3"/>
      <c r="F13" s="3"/>
      <c r="G13" s="3"/>
    </row>
    <row r="15" customFormat="false" ht="15" hidden="false" customHeight="false" outlineLevel="0" collapsed="false">
      <c r="A15" s="4" t="s">
        <v>22</v>
      </c>
    </row>
    <row r="16" customFormat="false" ht="15" hidden="false" customHeight="false" outlineLevel="0" collapsed="false">
      <c r="A16" s="2" t="s">
        <v>23</v>
      </c>
      <c r="B16" s="5" t="s">
        <v>24</v>
      </c>
      <c r="C16" s="5"/>
      <c r="D16" s="5"/>
      <c r="E16" s="5"/>
      <c r="F16" s="5"/>
      <c r="G16" s="5"/>
    </row>
    <row r="17" customFormat="false" ht="15" hidden="false" customHeight="false" outlineLevel="0" collapsed="false">
      <c r="A17" s="2" t="s">
        <v>25</v>
      </c>
      <c r="B17" s="5" t="s">
        <v>26</v>
      </c>
      <c r="C17" s="5"/>
      <c r="D17" s="5"/>
      <c r="E17" s="5"/>
      <c r="F17" s="5"/>
      <c r="G17" s="5"/>
    </row>
    <row r="18" customFormat="false" ht="15" hidden="false" customHeight="false" outlineLevel="0" collapsed="false">
      <c r="A18" s="2" t="s">
        <v>27</v>
      </c>
      <c r="B18" s="5" t="s">
        <v>28</v>
      </c>
      <c r="C18" s="5"/>
      <c r="D18" s="5"/>
      <c r="E18" s="5"/>
      <c r="F18" s="5"/>
      <c r="G18" s="5"/>
    </row>
    <row r="19" customFormat="false" ht="15" hidden="false" customHeight="false" outlineLevel="0" collapsed="false">
      <c r="A19" s="2" t="s">
        <v>29</v>
      </c>
      <c r="B19" s="5" t="s">
        <v>30</v>
      </c>
      <c r="C19" s="5"/>
      <c r="D19" s="5"/>
      <c r="E19" s="5"/>
      <c r="F19" s="5"/>
      <c r="G19" s="5"/>
    </row>
    <row r="20" customFormat="false" ht="15" hidden="false" customHeight="false" outlineLevel="0" collapsed="false">
      <c r="A20" s="2" t="s">
        <v>31</v>
      </c>
      <c r="B20" s="5" t="s">
        <v>32</v>
      </c>
      <c r="C20" s="5"/>
      <c r="D20" s="5"/>
      <c r="E20" s="5"/>
      <c r="F20" s="5"/>
      <c r="G20" s="5"/>
    </row>
    <row r="21" customFormat="false" ht="15" hidden="false" customHeight="false" outlineLevel="0" collapsed="false">
      <c r="A21" s="2" t="s">
        <v>33</v>
      </c>
      <c r="B21" s="5" t="s">
        <v>34</v>
      </c>
      <c r="C21" s="5"/>
      <c r="D21" s="5"/>
      <c r="E21" s="5"/>
      <c r="F21" s="5"/>
      <c r="G21" s="5"/>
    </row>
    <row r="23" customFormat="false" ht="15" hidden="false" customHeight="false" outlineLevel="0" collapsed="false">
      <c r="A23" s="4" t="s">
        <v>35</v>
      </c>
    </row>
    <row r="24" customFormat="false" ht="54.75" hidden="false" customHeight="true" outlineLevel="0" collapsed="false">
      <c r="A24" s="3" t="s">
        <v>36</v>
      </c>
      <c r="B24" s="3"/>
      <c r="C24" s="3"/>
      <c r="D24" s="3"/>
      <c r="E24" s="3"/>
      <c r="F24" s="3"/>
      <c r="G24" s="3"/>
    </row>
    <row r="26" customFormat="false" ht="15" hidden="false" customHeight="false" outlineLevel="0" collapsed="false">
      <c r="A26" s="6" t="s">
        <v>37</v>
      </c>
      <c r="B26" s="6" t="s">
        <v>38</v>
      </c>
      <c r="C26" s="6" t="s">
        <v>39</v>
      </c>
      <c r="D26" s="6" t="s">
        <v>40</v>
      </c>
      <c r="E26" s="6" t="s">
        <v>41</v>
      </c>
      <c r="F26" s="6" t="s">
        <v>42</v>
      </c>
      <c r="G26" s="6" t="s">
        <v>43</v>
      </c>
    </row>
    <row r="27" customFormat="false" ht="15" hidden="false" customHeight="false" outlineLevel="0" collapsed="false">
      <c r="A27" s="7" t="n">
        <v>1</v>
      </c>
      <c r="B27" s="7" t="s">
        <v>44</v>
      </c>
      <c r="C27" s="8" t="s">
        <v>45</v>
      </c>
      <c r="D27" s="7" t="s">
        <v>46</v>
      </c>
      <c r="E27" s="7" t="s">
        <v>47</v>
      </c>
      <c r="F27" s="7" t="s">
        <v>48</v>
      </c>
      <c r="G27" s="7" t="s">
        <v>49</v>
      </c>
    </row>
    <row r="28" customFormat="false" ht="15" hidden="false" customHeight="false" outlineLevel="0" collapsed="false">
      <c r="A28" s="7" t="n">
        <v>2</v>
      </c>
      <c r="B28" s="7" t="s">
        <v>50</v>
      </c>
      <c r="C28" s="8" t="s">
        <v>51</v>
      </c>
      <c r="D28" s="7" t="s">
        <v>52</v>
      </c>
      <c r="E28" s="7" t="s">
        <v>53</v>
      </c>
      <c r="F28" s="7" t="s">
        <v>54</v>
      </c>
      <c r="G28" s="7" t="s">
        <v>49</v>
      </c>
    </row>
    <row r="29" customFormat="false" ht="15" hidden="false" customHeight="false" outlineLevel="0" collapsed="false">
      <c r="A29" s="7" t="n">
        <v>3</v>
      </c>
      <c r="B29" s="7" t="s">
        <v>55</v>
      </c>
      <c r="C29" s="8" t="s">
        <v>56</v>
      </c>
      <c r="D29" s="7" t="s">
        <v>57</v>
      </c>
      <c r="E29" s="7" t="s">
        <v>47</v>
      </c>
      <c r="F29" s="7" t="s">
        <v>58</v>
      </c>
      <c r="G29" s="7" t="s">
        <v>49</v>
      </c>
    </row>
    <row r="30" customFormat="false" ht="15" hidden="false" customHeight="false" outlineLevel="0" collapsed="false">
      <c r="A30" s="7" t="n">
        <v>4</v>
      </c>
      <c r="B30" s="7" t="s">
        <v>59</v>
      </c>
      <c r="C30" s="8" t="s">
        <v>60</v>
      </c>
      <c r="D30" s="7" t="s">
        <v>61</v>
      </c>
      <c r="E30" s="7" t="s">
        <v>47</v>
      </c>
      <c r="F30" s="7" t="s">
        <v>62</v>
      </c>
      <c r="G30" s="7" t="s">
        <v>49</v>
      </c>
    </row>
    <row r="31" customFormat="false" ht="15" hidden="false" customHeight="false" outlineLevel="0" collapsed="false">
      <c r="A31" s="7" t="n">
        <v>5</v>
      </c>
      <c r="B31" s="7" t="s">
        <v>63</v>
      </c>
      <c r="C31" s="8" t="s">
        <v>64</v>
      </c>
      <c r="D31" s="7" t="s">
        <v>65</v>
      </c>
      <c r="E31" s="7" t="s">
        <v>66</v>
      </c>
      <c r="F31" s="7" t="s">
        <v>67</v>
      </c>
      <c r="G31" s="7" t="s">
        <v>49</v>
      </c>
    </row>
    <row r="32" customFormat="false" ht="15" hidden="false" customHeight="false" outlineLevel="0" collapsed="false">
      <c r="A32" s="7" t="n">
        <v>6</v>
      </c>
      <c r="B32" s="7" t="s">
        <v>68</v>
      </c>
      <c r="C32" s="8" t="s">
        <v>69</v>
      </c>
      <c r="D32" s="7" t="s">
        <v>70</v>
      </c>
      <c r="E32" s="7" t="s">
        <v>47</v>
      </c>
      <c r="F32" s="7" t="s">
        <v>62</v>
      </c>
      <c r="G32" s="7" t="s">
        <v>49</v>
      </c>
    </row>
    <row r="33" customFormat="false" ht="15" hidden="false" customHeight="false" outlineLevel="0" collapsed="false">
      <c r="A33" s="7" t="n">
        <v>7</v>
      </c>
      <c r="B33" s="7" t="s">
        <v>71</v>
      </c>
      <c r="C33" s="8" t="s">
        <v>72</v>
      </c>
      <c r="D33" s="7" t="s">
        <v>73</v>
      </c>
      <c r="E33" s="7" t="s">
        <v>74</v>
      </c>
      <c r="F33" s="7" t="s">
        <v>75</v>
      </c>
      <c r="G33" s="7" t="s">
        <v>49</v>
      </c>
    </row>
    <row r="34" customFormat="false" ht="15" hidden="false" customHeight="false" outlineLevel="0" collapsed="false">
      <c r="A34" s="7" t="n">
        <v>8</v>
      </c>
      <c r="B34" s="7" t="s">
        <v>76</v>
      </c>
      <c r="C34" s="8" t="s">
        <v>77</v>
      </c>
      <c r="D34" s="7" t="s">
        <v>78</v>
      </c>
      <c r="E34" s="7" t="s">
        <v>74</v>
      </c>
      <c r="F34" s="7" t="s">
        <v>79</v>
      </c>
      <c r="G34" s="7" t="s">
        <v>49</v>
      </c>
    </row>
    <row r="35" customFormat="false" ht="15" hidden="false" customHeight="false" outlineLevel="0" collapsed="false">
      <c r="A35" s="7" t="n">
        <v>9</v>
      </c>
      <c r="B35" s="7" t="s">
        <v>80</v>
      </c>
      <c r="C35" s="8" t="s">
        <v>81</v>
      </c>
      <c r="D35" s="7" t="s">
        <v>82</v>
      </c>
      <c r="E35" s="7" t="s">
        <v>74</v>
      </c>
      <c r="F35" s="7" t="s">
        <v>83</v>
      </c>
      <c r="G35" s="7" t="s">
        <v>49</v>
      </c>
    </row>
    <row r="36" customFormat="false" ht="15" hidden="false" customHeight="false" outlineLevel="0" collapsed="false">
      <c r="A36" s="7" t="n">
        <v>10</v>
      </c>
      <c r="B36" s="7" t="s">
        <v>84</v>
      </c>
      <c r="C36" s="8" t="s">
        <v>85</v>
      </c>
      <c r="D36" s="7" t="s">
        <v>86</v>
      </c>
      <c r="E36" s="7" t="s">
        <v>47</v>
      </c>
      <c r="F36" s="7" t="s">
        <v>58</v>
      </c>
      <c r="G36" s="7" t="s">
        <v>49</v>
      </c>
    </row>
    <row r="37" customFormat="false" ht="15" hidden="false" customHeight="false" outlineLevel="0" collapsed="false">
      <c r="A37" s="7" t="n">
        <v>11</v>
      </c>
      <c r="B37" s="7" t="s">
        <v>87</v>
      </c>
      <c r="C37" s="8" t="s">
        <v>88</v>
      </c>
      <c r="D37" s="7" t="s">
        <v>89</v>
      </c>
      <c r="E37" s="7" t="s">
        <v>74</v>
      </c>
      <c r="F37" s="7" t="s">
        <v>90</v>
      </c>
      <c r="G37" s="7" t="s">
        <v>49</v>
      </c>
    </row>
    <row r="38" customFormat="false" ht="15" hidden="false" customHeight="false" outlineLevel="0" collapsed="false">
      <c r="A38" s="7" t="n">
        <v>12</v>
      </c>
      <c r="B38" s="7" t="s">
        <v>91</v>
      </c>
      <c r="C38" s="8" t="s">
        <v>92</v>
      </c>
      <c r="D38" s="7" t="s">
        <v>93</v>
      </c>
      <c r="E38" s="7" t="s">
        <v>74</v>
      </c>
      <c r="F38" s="7" t="s">
        <v>94</v>
      </c>
      <c r="G38" s="7" t="s">
        <v>49</v>
      </c>
    </row>
    <row r="39" customFormat="false" ht="15" hidden="false" customHeight="false" outlineLevel="0" collapsed="false">
      <c r="A39" s="7" t="n">
        <v>13</v>
      </c>
      <c r="B39" s="7" t="s">
        <v>95</v>
      </c>
      <c r="C39" s="8" t="s">
        <v>96</v>
      </c>
      <c r="D39" s="7" t="s">
        <v>97</v>
      </c>
      <c r="E39" s="7" t="s">
        <v>74</v>
      </c>
      <c r="F39" s="7" t="s">
        <v>98</v>
      </c>
      <c r="G39" s="7" t="s">
        <v>99</v>
      </c>
    </row>
    <row r="40" customFormat="false" ht="15" hidden="false" customHeight="false" outlineLevel="0" collapsed="false">
      <c r="A40" s="7" t="n">
        <v>14</v>
      </c>
      <c r="B40" s="7" t="s">
        <v>100</v>
      </c>
      <c r="C40" s="8" t="s">
        <v>101</v>
      </c>
      <c r="D40" s="7" t="s">
        <v>102</v>
      </c>
      <c r="E40" s="7" t="s">
        <v>47</v>
      </c>
      <c r="F40" s="7" t="s">
        <v>103</v>
      </c>
      <c r="G40" s="7" t="s">
        <v>104</v>
      </c>
    </row>
    <row r="42" customFormat="false" ht="15" hidden="false" customHeight="false" outlineLevel="0" collapsed="false">
      <c r="A42" s="9" t="s">
        <v>105</v>
      </c>
    </row>
  </sheetData>
  <mergeCells count="17">
    <mergeCell ref="B4:G4"/>
    <mergeCell ref="B5:G5"/>
    <mergeCell ref="B6:G6"/>
    <mergeCell ref="B7:G7"/>
    <mergeCell ref="B8:G8"/>
    <mergeCell ref="B9:G9"/>
    <mergeCell ref="B10:G10"/>
    <mergeCell ref="B11:G11"/>
    <mergeCell ref="B12:G12"/>
    <mergeCell ref="B13:G13"/>
    <mergeCell ref="B16:G16"/>
    <mergeCell ref="B17:G17"/>
    <mergeCell ref="B18:G18"/>
    <mergeCell ref="B19:G19"/>
    <mergeCell ref="B20:G20"/>
    <mergeCell ref="B21:G21"/>
    <mergeCell ref="A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52"/>
    <col collapsed="false" customWidth="true" hidden="false" outlineLevel="0" max="4" min="4" style="0" width="14"/>
    <col collapsed="false" customWidth="true" hidden="false" outlineLevel="0" max="21" min="5" style="0" width="16"/>
  </cols>
  <sheetData>
    <row r="1" customFormat="false" ht="15" hidden="false" customHeight="false" outlineLevel="0" collapsed="false">
      <c r="A1" s="2" t="s">
        <v>106</v>
      </c>
      <c r="B1" s="2" t="s">
        <v>107</v>
      </c>
      <c r="C1" s="2" t="s">
        <v>108</v>
      </c>
      <c r="D1" s="2" t="s">
        <v>109</v>
      </c>
      <c r="E1" s="2" t="s">
        <v>110</v>
      </c>
      <c r="F1" s="2" t="s">
        <v>111</v>
      </c>
      <c r="G1" s="2" t="s">
        <v>112</v>
      </c>
      <c r="H1" s="2" t="s">
        <v>113</v>
      </c>
      <c r="I1" s="2" t="s">
        <v>114</v>
      </c>
      <c r="J1" s="2" t="s">
        <v>115</v>
      </c>
      <c r="K1" s="2" t="s">
        <v>116</v>
      </c>
      <c r="L1" s="2" t="s">
        <v>117</v>
      </c>
      <c r="M1" s="2" t="s">
        <v>118</v>
      </c>
      <c r="N1" s="2" t="s">
        <v>119</v>
      </c>
      <c r="O1" s="2" t="s">
        <v>120</v>
      </c>
      <c r="P1" s="2" t="s">
        <v>121</v>
      </c>
      <c r="Q1" s="2" t="s">
        <v>122</v>
      </c>
      <c r="R1" s="2" t="s">
        <v>123</v>
      </c>
      <c r="S1" s="2" t="s">
        <v>124</v>
      </c>
      <c r="T1" s="2" t="s">
        <v>125</v>
      </c>
      <c r="U1" s="2" t="s">
        <v>126</v>
      </c>
    </row>
    <row r="2" customFormat="false" ht="15" hidden="false" customHeight="false" outlineLevel="0" collapsed="false">
      <c r="A2" s="7" t="s">
        <v>127</v>
      </c>
      <c r="B2" s="7" t="s">
        <v>128</v>
      </c>
      <c r="C2" s="7" t="s">
        <v>46</v>
      </c>
      <c r="D2" s="7" t="s">
        <v>45</v>
      </c>
      <c r="E2" s="8" t="n">
        <v>130807441076.16</v>
      </c>
      <c r="F2" s="8" t="n">
        <v>131898737241.166</v>
      </c>
      <c r="G2" s="8" t="n">
        <v>141712804953.868</v>
      </c>
      <c r="H2" s="8" t="n">
        <v>128470269689.958</v>
      </c>
      <c r="I2" s="8" t="n">
        <v>135646053778.582</v>
      </c>
      <c r="J2" s="8" t="n">
        <v>141128696412.321</v>
      </c>
      <c r="K2" s="8" t="n">
        <v>125244126623.289</v>
      </c>
      <c r="L2" s="8" t="n">
        <v>128983560865.293</v>
      </c>
      <c r="M2" s="8" t="n">
        <v>143335098991.862</v>
      </c>
      <c r="N2" s="8" t="n">
        <v>161184691013.835</v>
      </c>
      <c r="O2" s="8" t="n">
        <v>164936682033.992</v>
      </c>
      <c r="P2" s="8" t="n">
        <v>158468487754.196</v>
      </c>
      <c r="Q2" s="8" t="n">
        <v>183282685440.486</v>
      </c>
      <c r="R2" s="8" t="n">
        <v>177002580544.155</v>
      </c>
      <c r="S2" s="8" t="n">
        <v>213029511028.874</v>
      </c>
      <c r="T2" s="8" t="n">
        <v>222848211034.367</v>
      </c>
      <c r="U2" s="8" t="n">
        <v>246490213513.054</v>
      </c>
    </row>
    <row r="3" customFormat="false" ht="15" hidden="false" customHeight="false" outlineLevel="0" collapsed="false">
      <c r="A3" s="7" t="s">
        <v>127</v>
      </c>
      <c r="B3" s="7" t="s">
        <v>128</v>
      </c>
      <c r="C3" s="7" t="s">
        <v>52</v>
      </c>
      <c r="D3" s="7" t="s">
        <v>51</v>
      </c>
      <c r="E3" s="8" t="n">
        <v>-6.7401660845502</v>
      </c>
      <c r="F3" s="8" t="n">
        <v>1.06795068152046</v>
      </c>
      <c r="G3" s="8" t="n">
        <v>1.91670916599742</v>
      </c>
      <c r="H3" s="8" t="n">
        <v>-1.33948446518181</v>
      </c>
      <c r="I3" s="8" t="n">
        <v>2.03216990678146</v>
      </c>
      <c r="J3" s="8" t="n">
        <v>4.33435364113967</v>
      </c>
      <c r="K3" s="8" t="n">
        <v>3.65981615406955</v>
      </c>
      <c r="L3" s="8" t="n">
        <v>2.43864141309342</v>
      </c>
      <c r="M3" s="8" t="n">
        <v>4.12418389451805</v>
      </c>
      <c r="N3" s="8" t="n">
        <v>5.60613813768876</v>
      </c>
      <c r="O3" s="8" t="n">
        <v>5.07718495088933</v>
      </c>
      <c r="P3" s="8" t="n">
        <v>-4.33872540024058</v>
      </c>
      <c r="Q3" s="8" t="n">
        <v>7.22291580811137</v>
      </c>
      <c r="R3" s="8" t="n">
        <v>4.15238057779229</v>
      </c>
      <c r="S3" s="8" t="n">
        <v>-0.817107370513455</v>
      </c>
      <c r="T3" s="8" t="n">
        <v>0.709070599066038</v>
      </c>
      <c r="U3" s="8" t="n">
        <v>0.509542309726868</v>
      </c>
    </row>
    <row r="4" customFormat="false" ht="15" hidden="false" customHeight="false" outlineLevel="0" collapsed="false">
      <c r="A4" s="7" t="s">
        <v>127</v>
      </c>
      <c r="B4" s="7" t="s">
        <v>128</v>
      </c>
      <c r="C4" s="7" t="s">
        <v>57</v>
      </c>
      <c r="D4" s="7" t="s">
        <v>56</v>
      </c>
      <c r="E4" s="8" t="n">
        <v>13051.1831777184</v>
      </c>
      <c r="F4" s="8" t="n">
        <v>13189.8433874768</v>
      </c>
      <c r="G4" s="8" t="n">
        <v>14211.460557822</v>
      </c>
      <c r="H4" s="8" t="n">
        <v>12950.1594488143</v>
      </c>
      <c r="I4" s="8" t="n">
        <v>13739.4620151401</v>
      </c>
      <c r="J4" s="8" t="n">
        <v>14352.501883174</v>
      </c>
      <c r="K4" s="8" t="n">
        <v>12782.9412577973</v>
      </c>
      <c r="L4" s="8" t="n">
        <v>13215.8605277789</v>
      </c>
      <c r="M4" s="8" t="n">
        <v>14736.1668157258</v>
      </c>
      <c r="N4" s="8" t="n">
        <v>16605.0570511887</v>
      </c>
      <c r="O4" s="8" t="n">
        <v>17012.8598553199</v>
      </c>
      <c r="P4" s="8" t="n">
        <v>16386.9308821258</v>
      </c>
      <c r="Q4" s="8" t="n">
        <v>19030.628130329</v>
      </c>
      <c r="R4" s="8" t="n">
        <v>18428.028825614</v>
      </c>
      <c r="S4" s="8" t="n">
        <v>22208.6509820466</v>
      </c>
      <c r="T4" s="8" t="n">
        <v>23305.4482514359</v>
      </c>
      <c r="U4" s="8" t="n">
        <v>25907.4743259406</v>
      </c>
    </row>
    <row r="5" customFormat="false" ht="15" hidden="false" customHeight="false" outlineLevel="0" collapsed="false">
      <c r="A5" s="7" t="s">
        <v>127</v>
      </c>
      <c r="B5" s="7" t="s">
        <v>128</v>
      </c>
      <c r="C5" s="7" t="s">
        <v>61</v>
      </c>
      <c r="D5" s="7" t="s">
        <v>60</v>
      </c>
      <c r="E5" s="8" t="n">
        <v>97259190764.9288</v>
      </c>
      <c r="F5" s="8" t="n">
        <v>107172345140.723</v>
      </c>
      <c r="G5" s="8" t="n">
        <v>122146730994.007</v>
      </c>
      <c r="H5" s="8" t="n">
        <v>110596984359.093</v>
      </c>
      <c r="I5" s="8" t="n">
        <v>115833299805.539</v>
      </c>
      <c r="J5" s="8" t="n">
        <v>122820302233.432</v>
      </c>
      <c r="K5" s="8" t="n">
        <v>109507057001.96</v>
      </c>
      <c r="L5" s="8" t="n">
        <v>111069631883.681</v>
      </c>
      <c r="M5" s="8" t="n">
        <v>122904333778.696</v>
      </c>
      <c r="N5" s="8" t="n">
        <v>134422841352.766</v>
      </c>
      <c r="O5" s="8" t="n">
        <v>133707076997.179</v>
      </c>
      <c r="P5" s="8" t="n">
        <v>123744764553.729</v>
      </c>
      <c r="Q5" s="8" t="n">
        <v>145547409482.391</v>
      </c>
      <c r="R5" s="8" t="n">
        <v>158966257003.232</v>
      </c>
      <c r="S5" s="8" t="n">
        <v>173379370601.313</v>
      </c>
      <c r="T5" s="8" t="n">
        <v>169805683762.924</v>
      </c>
      <c r="U5" s="8" t="n">
        <v>179026907175.624</v>
      </c>
    </row>
    <row r="6" customFormat="false" ht="15" hidden="false" customHeight="false" outlineLevel="0" collapsed="false">
      <c r="A6" s="7" t="s">
        <v>127</v>
      </c>
      <c r="B6" s="7" t="s">
        <v>128</v>
      </c>
      <c r="C6" s="7" t="s">
        <v>65</v>
      </c>
      <c r="D6" s="7" t="s">
        <v>64</v>
      </c>
      <c r="E6" s="8" t="n">
        <v>77208917713.0917</v>
      </c>
      <c r="F6" s="8" t="n">
        <v>85792642173.8137</v>
      </c>
      <c r="G6" s="8" t="n">
        <v>91295343667.6201</v>
      </c>
      <c r="H6" s="8" t="n">
        <v>89741957497.6078</v>
      </c>
      <c r="I6" s="8" t="n">
        <v>93402284304.058</v>
      </c>
      <c r="J6" s="8" t="n">
        <v>101997234197.104</v>
      </c>
      <c r="K6" s="8" t="n">
        <v>109507057001.96</v>
      </c>
      <c r="L6" s="8" t="n">
        <v>113670757083.287</v>
      </c>
      <c r="M6" s="8" t="n">
        <v>121036315507.775</v>
      </c>
      <c r="N6" s="8" t="n">
        <v>127076625062.403</v>
      </c>
      <c r="O6" s="8" t="n">
        <v>134011244796.879</v>
      </c>
      <c r="P6" s="8" t="n">
        <v>125776594840.412</v>
      </c>
      <c r="Q6" s="8" t="n">
        <v>136141102222.458</v>
      </c>
      <c r="R6" s="8" t="n">
        <v>150757687584.108</v>
      </c>
      <c r="S6" s="8" t="n">
        <v>153493471454.954</v>
      </c>
      <c r="T6" s="8" t="n">
        <v>152719215996.405</v>
      </c>
      <c r="U6" s="8" t="n">
        <v>151065572346.846</v>
      </c>
    </row>
    <row r="7" customFormat="false" ht="15" hidden="false" customHeight="false" outlineLevel="0" collapsed="false">
      <c r="A7" s="7" t="s">
        <v>127</v>
      </c>
      <c r="B7" s="7" t="s">
        <v>128</v>
      </c>
      <c r="C7" s="7" t="s">
        <v>70</v>
      </c>
      <c r="D7" s="7" t="s">
        <v>69</v>
      </c>
      <c r="E7" s="8" t="n">
        <v>92811709103.9563</v>
      </c>
      <c r="F7" s="8" t="n">
        <v>101015250087.163</v>
      </c>
      <c r="G7" s="8" t="n">
        <v>114165531819.651</v>
      </c>
      <c r="H7" s="8" t="n">
        <v>102889383803.794</v>
      </c>
      <c r="I7" s="8" t="n">
        <v>107271937235.969</v>
      </c>
      <c r="J7" s="8" t="n">
        <v>114781649601.249</v>
      </c>
      <c r="K7" s="8" t="n">
        <v>100014767347.158</v>
      </c>
      <c r="L7" s="8" t="n">
        <v>100427220952.674</v>
      </c>
      <c r="M7" s="8" t="n">
        <v>113645673509.049</v>
      </c>
      <c r="N7" s="8" t="n">
        <v>127826035145.287</v>
      </c>
      <c r="O7" s="8" t="n">
        <v>130068829560.311</v>
      </c>
      <c r="P7" s="8" t="n">
        <v>121131840171.43</v>
      </c>
      <c r="Q7" s="8" t="n">
        <v>146215765499.534</v>
      </c>
      <c r="R7" s="8" t="n">
        <v>168435332297.06</v>
      </c>
      <c r="S7" s="8" t="n">
        <v>164525537990.966</v>
      </c>
      <c r="T7" s="8" t="n">
        <v>159846246259.933</v>
      </c>
      <c r="U7" s="8" t="n">
        <v>167980299597.893</v>
      </c>
    </row>
    <row r="8" customFormat="false" ht="15" hidden="false" customHeight="false" outlineLevel="0" collapsed="false">
      <c r="A8" s="7" t="s">
        <v>127</v>
      </c>
      <c r="B8" s="7" t="s">
        <v>128</v>
      </c>
      <c r="C8" s="7" t="s">
        <v>73</v>
      </c>
      <c r="D8" s="7" t="s">
        <v>72</v>
      </c>
      <c r="E8" s="8" t="n">
        <v>74.3529496218046</v>
      </c>
      <c r="F8" s="8" t="n">
        <v>81.2535035455015</v>
      </c>
      <c r="G8" s="8" t="n">
        <v>86.1931503181868</v>
      </c>
      <c r="H8" s="8" t="n">
        <v>86.0876097061215</v>
      </c>
      <c r="I8" s="8" t="n">
        <v>85.3937852070622</v>
      </c>
      <c r="J8" s="8" t="n">
        <v>87.0271641102673</v>
      </c>
      <c r="K8" s="8" t="n">
        <v>87.4348841373907</v>
      </c>
      <c r="L8" s="8" t="n">
        <v>86.1114634598119</v>
      </c>
      <c r="M8" s="8" t="n">
        <v>85.7461533449483</v>
      </c>
      <c r="N8" s="8" t="n">
        <v>83.3967795001256</v>
      </c>
      <c r="O8" s="8" t="n">
        <v>81.065700696964</v>
      </c>
      <c r="P8" s="8" t="n">
        <v>78.0879317443048</v>
      </c>
      <c r="Q8" s="8" t="n">
        <v>79.4114343821378</v>
      </c>
      <c r="R8" s="8" t="n">
        <v>89.810135261602</v>
      </c>
      <c r="S8" s="8" t="n">
        <v>81.3874893501556</v>
      </c>
      <c r="T8" s="8" t="n">
        <v>76.1979120113902</v>
      </c>
      <c r="U8" s="8" t="n">
        <v>72.6304321068483</v>
      </c>
    </row>
    <row r="9" customFormat="false" ht="15" hidden="false" customHeight="false" outlineLevel="0" collapsed="false">
      <c r="A9" s="7" t="s">
        <v>127</v>
      </c>
      <c r="B9" s="7" t="s">
        <v>128</v>
      </c>
      <c r="C9" s="7" t="s">
        <v>78</v>
      </c>
      <c r="D9" s="7" t="s">
        <v>77</v>
      </c>
      <c r="E9" s="8" t="n">
        <v>70.9529277083853</v>
      </c>
      <c r="F9" s="8" t="n">
        <v>76.5854565403946</v>
      </c>
      <c r="G9" s="8" t="n">
        <v>80.5611968917104</v>
      </c>
      <c r="H9" s="8" t="n">
        <v>80.088088903449</v>
      </c>
      <c r="I9" s="8" t="n">
        <v>79.0822395844044</v>
      </c>
      <c r="J9" s="8" t="n">
        <v>81.3311909761454</v>
      </c>
      <c r="K9" s="8" t="n">
        <v>79.8558543571336</v>
      </c>
      <c r="L9" s="8" t="n">
        <v>77.8604810403383</v>
      </c>
      <c r="M9" s="8" t="n">
        <v>79.2867024953192</v>
      </c>
      <c r="N9" s="8" t="n">
        <v>79.3040792777992</v>
      </c>
      <c r="O9" s="8" t="n">
        <v>78.8598557678669</v>
      </c>
      <c r="P9" s="8" t="n">
        <v>76.4390711920722</v>
      </c>
      <c r="Q9" s="8" t="n">
        <v>79.7760929506963</v>
      </c>
      <c r="R9" s="8" t="n">
        <v>95.1598173197492</v>
      </c>
      <c r="S9" s="8" t="n">
        <v>77.2313362577572</v>
      </c>
      <c r="T9" s="8" t="n">
        <v>71.7287545266774</v>
      </c>
      <c r="U9" s="8" t="n">
        <v>68.1488717964849</v>
      </c>
    </row>
    <row r="10" customFormat="false" ht="15" hidden="false" customHeight="false" outlineLevel="0" collapsed="false">
      <c r="A10" s="7" t="s">
        <v>127</v>
      </c>
      <c r="B10" s="7" t="s">
        <v>128</v>
      </c>
      <c r="C10" s="7" t="s">
        <v>82</v>
      </c>
      <c r="D10" s="7" t="s">
        <v>81</v>
      </c>
      <c r="E10" s="8" t="n">
        <v>145.30587733019</v>
      </c>
      <c r="F10" s="8" t="n">
        <v>157.838960085896</v>
      </c>
      <c r="G10" s="8" t="n">
        <v>166.754347209897</v>
      </c>
      <c r="H10" s="8" t="n">
        <v>166.17569860957</v>
      </c>
      <c r="I10" s="8" t="n">
        <v>164.476024791467</v>
      </c>
      <c r="J10" s="8" t="n">
        <v>168.358355086413</v>
      </c>
      <c r="K10" s="8" t="n">
        <v>167.290738494524</v>
      </c>
      <c r="L10" s="8" t="n">
        <v>163.97194450015</v>
      </c>
      <c r="M10" s="8" t="n">
        <v>165.032855840268</v>
      </c>
      <c r="N10" s="8" t="n">
        <v>162.700858777925</v>
      </c>
      <c r="O10" s="8" t="n">
        <v>159.925556464831</v>
      </c>
      <c r="P10" s="8" t="n">
        <v>154.527002936377</v>
      </c>
      <c r="Q10" s="8" t="n">
        <v>159.187527332834</v>
      </c>
      <c r="R10" s="8" t="n">
        <v>184.969952581351</v>
      </c>
      <c r="S10" s="8" t="n">
        <v>158.618825607913</v>
      </c>
      <c r="T10" s="8" t="n">
        <v>147.926666538068</v>
      </c>
      <c r="U10" s="8" t="n">
        <v>140.779303903333</v>
      </c>
    </row>
    <row r="11" customFormat="false" ht="15" hidden="false" customHeight="false" outlineLevel="0" collapsed="false">
      <c r="A11" s="7" t="s">
        <v>127</v>
      </c>
      <c r="B11" s="7" t="s">
        <v>128</v>
      </c>
      <c r="C11" s="7" t="s">
        <v>86</v>
      </c>
      <c r="D11" s="7" t="s">
        <v>85</v>
      </c>
      <c r="E11" s="8" t="n">
        <v>-2986078748.11139</v>
      </c>
      <c r="F11" s="8" t="n">
        <v>-20952692164.6003</v>
      </c>
      <c r="G11" s="8" t="n">
        <v>10563869736.8555</v>
      </c>
      <c r="H11" s="8" t="n">
        <v>10670096331.9645</v>
      </c>
      <c r="I11" s="8" t="n">
        <v>-3730081935.94212</v>
      </c>
      <c r="J11" s="8" t="n">
        <v>12880113629.556</v>
      </c>
      <c r="K11" s="8" t="n">
        <v>-5469731521.61747</v>
      </c>
      <c r="L11" s="8" t="n">
        <v>69453473203.2502</v>
      </c>
      <c r="M11" s="8" t="n">
        <v>-12371761179.6433</v>
      </c>
      <c r="N11" s="8" t="n">
        <v>-64648352413.5288</v>
      </c>
      <c r="O11" s="8" t="n">
        <v>98265233190.1349</v>
      </c>
      <c r="P11" s="8" t="n">
        <v>167399384338.449</v>
      </c>
      <c r="Q11" s="8" t="n">
        <v>33474586358.8648</v>
      </c>
      <c r="R11" s="8" t="n">
        <v>-1862893349.47892</v>
      </c>
      <c r="S11" s="8" t="n">
        <v>-70896108744.3087</v>
      </c>
      <c r="T11" s="8" t="n">
        <v>-61303476151.5339</v>
      </c>
      <c r="U11" s="8" t="n">
        <v>-69938246708.2487</v>
      </c>
    </row>
    <row r="12" customFormat="false" ht="15" hidden="false" customHeight="false" outlineLevel="0" collapsed="false">
      <c r="A12" s="7" t="s">
        <v>127</v>
      </c>
      <c r="B12" s="7" t="s">
        <v>128</v>
      </c>
      <c r="C12" s="7" t="s">
        <v>89</v>
      </c>
      <c r="D12" s="7" t="s">
        <v>88</v>
      </c>
      <c r="E12" s="8" t="n">
        <v>-2.28280495631194</v>
      </c>
      <c r="F12" s="8" t="n">
        <v>-15.8854380283338</v>
      </c>
      <c r="G12" s="8" t="n">
        <v>7.45442145492381</v>
      </c>
      <c r="H12" s="8" t="n">
        <v>8.30549850772091</v>
      </c>
      <c r="I12" s="8" t="n">
        <v>-2.74986395257086</v>
      </c>
      <c r="J12" s="8" t="n">
        <v>9.1265022330579</v>
      </c>
      <c r="K12" s="8" t="n">
        <v>-4.3672559097876</v>
      </c>
      <c r="L12" s="8" t="n">
        <v>53.8467636785015</v>
      </c>
      <c r="M12" s="8" t="n">
        <v>-8.6313549623639</v>
      </c>
      <c r="N12" s="8" t="n">
        <v>-40.1082460169744</v>
      </c>
      <c r="O12" s="8" t="n">
        <v>59.5775493833952</v>
      </c>
      <c r="P12" s="8" t="n">
        <v>105.635755544096</v>
      </c>
      <c r="Q12" s="8" t="n">
        <v>18.2639108972104</v>
      </c>
      <c r="R12" s="8" t="n">
        <v>-1.05246677407293</v>
      </c>
      <c r="S12" s="8" t="n">
        <v>-33.2799471781632</v>
      </c>
      <c r="T12" s="8" t="n">
        <v>-27.5090725956422</v>
      </c>
      <c r="U12" s="8" t="n">
        <v>-28.3736403614031</v>
      </c>
    </row>
    <row r="13" customFormat="false" ht="15" hidden="false" customHeight="false" outlineLevel="0" collapsed="false">
      <c r="A13" s="7" t="s">
        <v>127</v>
      </c>
      <c r="B13" s="7" t="s">
        <v>128</v>
      </c>
      <c r="C13" s="7" t="s">
        <v>93</v>
      </c>
      <c r="D13" s="7" t="s">
        <v>92</v>
      </c>
      <c r="E13" s="8" t="n">
        <v>17.1623330990864</v>
      </c>
      <c r="F13" s="8" t="n">
        <v>18.1353669170801</v>
      </c>
      <c r="G13" s="8" t="n">
        <v>18.4594533468052</v>
      </c>
      <c r="H13" s="8" t="n">
        <v>18.4937179955194</v>
      </c>
      <c r="I13" s="8" t="n">
        <v>18.7073217770592</v>
      </c>
      <c r="J13" s="8" t="n">
        <v>19.4234614005581</v>
      </c>
      <c r="K13" s="8" t="n">
        <v>20.2076761720927</v>
      </c>
      <c r="L13" s="8" t="n">
        <v>19.5575596990539</v>
      </c>
      <c r="M13" s="8" t="n">
        <v>19.1033927278036</v>
      </c>
      <c r="N13" s="8" t="n">
        <v>18.4028423209229</v>
      </c>
      <c r="O13" s="8" t="n">
        <v>17.3261619988245</v>
      </c>
      <c r="P13" s="8" t="n">
        <v>17.2739907825324</v>
      </c>
      <c r="Q13" s="8" t="n">
        <v>16.5270428077403</v>
      </c>
      <c r="R13" s="8" t="n">
        <v>16.7771082108585</v>
      </c>
      <c r="S13" s="8" t="n">
        <v>17.171898542953</v>
      </c>
      <c r="T13" s="8" t="n">
        <v>15.8584652615689</v>
      </c>
      <c r="U13" s="8" t="n">
        <v>15.1438280236576</v>
      </c>
    </row>
    <row r="14" customFormat="false" ht="15" hidden="false" customHeight="false" outlineLevel="0" collapsed="false">
      <c r="A14" s="7" t="s">
        <v>127</v>
      </c>
      <c r="B14" s="7" t="s">
        <v>128</v>
      </c>
      <c r="C14" s="7" t="s">
        <v>97</v>
      </c>
      <c r="D14" s="7" t="s">
        <v>96</v>
      </c>
      <c r="E14" s="8" t="n">
        <v>-1.21974951373381</v>
      </c>
      <c r="F14" s="8" t="n">
        <v>-0.188218208390541</v>
      </c>
      <c r="G14" s="8" t="n">
        <v>0.428842717780173</v>
      </c>
      <c r="H14" s="8" t="n">
        <v>1.0790451227521</v>
      </c>
      <c r="I14" s="8" t="n">
        <v>2.99109062228032</v>
      </c>
      <c r="J14" s="8" t="n">
        <v>0.747477578049868</v>
      </c>
      <c r="K14" s="8" t="n">
        <v>2.11856059497338</v>
      </c>
      <c r="L14" s="8" t="n">
        <v>4.40234047330024</v>
      </c>
      <c r="M14" s="8" t="n">
        <v>1.71954655139941</v>
      </c>
      <c r="N14" s="8" t="n">
        <v>0.340906702488933</v>
      </c>
      <c r="O14" s="8" t="n">
        <v>-0.606737568975118</v>
      </c>
      <c r="P14" s="8" t="n">
        <v>-1.03428088875148</v>
      </c>
      <c r="Q14" s="8" t="n">
        <v>-4.28505680487641</v>
      </c>
      <c r="R14" s="8" t="n">
        <v>-8.78389100676718</v>
      </c>
      <c r="S14" s="8" t="n">
        <v>-0.00798002024458191</v>
      </c>
      <c r="T14" s="8" t="n">
        <v>1.84213300452467</v>
      </c>
      <c r="U14" s="8" t="n">
        <v>1.6548423815673</v>
      </c>
    </row>
    <row r="15" customFormat="false" ht="15" hidden="false" customHeight="false" outlineLevel="0" collapsed="false">
      <c r="A15" s="7" t="s">
        <v>127</v>
      </c>
      <c r="B15" s="7" t="s">
        <v>128</v>
      </c>
      <c r="C15" s="7" t="s">
        <v>102</v>
      </c>
      <c r="D15" s="7" t="s">
        <v>101</v>
      </c>
      <c r="E15" s="8" t="n">
        <v>83008000000</v>
      </c>
      <c r="F15" s="8" t="n">
        <v>95483000000</v>
      </c>
      <c r="G15" s="8" t="n">
        <v>112312000000</v>
      </c>
      <c r="H15" s="8" t="n">
        <v>103570000000</v>
      </c>
      <c r="I15" s="8" t="n">
        <v>107503000000</v>
      </c>
      <c r="J15" s="8" t="n">
        <v>110622000000</v>
      </c>
      <c r="K15" s="8" t="n">
        <v>98524000000</v>
      </c>
      <c r="L15" s="8" t="n">
        <v>101919000000</v>
      </c>
      <c r="M15" s="8" t="n">
        <v>113806000000</v>
      </c>
      <c r="N15" s="8" t="n">
        <v>124705000000</v>
      </c>
      <c r="O15" s="8" t="n">
        <v>123796000000</v>
      </c>
      <c r="P15" s="8" t="n">
        <v>120654000000</v>
      </c>
      <c r="Q15" s="8" t="n">
        <v>141830000000</v>
      </c>
      <c r="R15" s="8" t="n">
        <v>153580000000</v>
      </c>
      <c r="S15" s="8" t="n">
        <v>164359000000</v>
      </c>
      <c r="T15" s="8" t="n">
        <v>159268000000</v>
      </c>
      <c r="U15" s="8" t="n">
        <v>168841000000</v>
      </c>
    </row>
    <row r="16" customFormat="false" ht="15" hidden="false" customHeight="false" outlineLevel="0" collapsed="false">
      <c r="A16" s="7" t="s">
        <v>129</v>
      </c>
      <c r="B16" s="7" t="s">
        <v>130</v>
      </c>
      <c r="C16" s="7" t="s">
        <v>46</v>
      </c>
      <c r="D16" s="7" t="s">
        <v>45</v>
      </c>
      <c r="E16" s="8" t="n">
        <v>440891472247.096</v>
      </c>
      <c r="F16" s="8" t="n">
        <v>478111630683.514</v>
      </c>
      <c r="G16" s="8" t="n">
        <v>527848543023.469</v>
      </c>
      <c r="H16" s="8" t="n">
        <v>498148649702.66</v>
      </c>
      <c r="I16" s="8" t="n">
        <v>518179836405.36</v>
      </c>
      <c r="J16" s="8" t="n">
        <v>542134167178.627</v>
      </c>
      <c r="K16" s="8" t="n">
        <v>480054118583.367</v>
      </c>
      <c r="L16" s="8" t="n">
        <v>473259623976.262</v>
      </c>
      <c r="M16" s="8" t="n">
        <v>528356723263.073</v>
      </c>
      <c r="N16" s="8" t="n">
        <v>594616632477.019</v>
      </c>
      <c r="O16" s="8" t="n">
        <v>602683770144.88</v>
      </c>
      <c r="P16" s="8" t="n">
        <v>605914237903.742</v>
      </c>
      <c r="Q16" s="8" t="n">
        <v>689170230665.35</v>
      </c>
      <c r="R16" s="8" t="n">
        <v>695607470875.276</v>
      </c>
      <c r="S16" s="8" t="n">
        <v>812451193396.143</v>
      </c>
      <c r="T16" s="8" t="n">
        <v>917767106146.761</v>
      </c>
      <c r="U16" s="8" t="n">
        <v>1035491784197.44</v>
      </c>
    </row>
    <row r="17" customFormat="false" ht="15" hidden="false" customHeight="false" outlineLevel="0" collapsed="false">
      <c r="A17" s="7" t="s">
        <v>129</v>
      </c>
      <c r="B17" s="7" t="s">
        <v>130</v>
      </c>
      <c r="C17" s="7" t="s">
        <v>52</v>
      </c>
      <c r="D17" s="7" t="s">
        <v>51</v>
      </c>
      <c r="E17" s="8" t="n">
        <v>2.61512859291683</v>
      </c>
      <c r="F17" s="8" t="n">
        <v>3.16892748258036</v>
      </c>
      <c r="G17" s="8" t="n">
        <v>5.25546256612796</v>
      </c>
      <c r="H17" s="8" t="n">
        <v>1.51178167644575</v>
      </c>
      <c r="I17" s="8" t="n">
        <v>0.684240607051805</v>
      </c>
      <c r="J17" s="8" t="n">
        <v>3.92050862390032</v>
      </c>
      <c r="K17" s="8" t="n">
        <v>4.43176700264478</v>
      </c>
      <c r="L17" s="8" t="n">
        <v>3.03117767594847</v>
      </c>
      <c r="M17" s="8" t="n">
        <v>5.15245773325907</v>
      </c>
      <c r="N17" s="8" t="n">
        <v>6.2458584723942</v>
      </c>
      <c r="O17" s="8" t="n">
        <v>4.58045817256199</v>
      </c>
      <c r="P17" s="8" t="n">
        <v>-2.03556882399977</v>
      </c>
      <c r="Q17" s="8" t="n">
        <v>6.92718266052501</v>
      </c>
      <c r="R17" s="8" t="n">
        <v>5.25545697386036</v>
      </c>
      <c r="S17" s="8" t="n">
        <v>0.249610834017872</v>
      </c>
      <c r="T17" s="8" t="n">
        <v>3.02841630700273</v>
      </c>
      <c r="U17" s="8" t="n">
        <v>3.5727250346774</v>
      </c>
    </row>
    <row r="18" customFormat="false" ht="15" hidden="false" customHeight="false" outlineLevel="0" collapsed="false">
      <c r="A18" s="7" t="s">
        <v>129</v>
      </c>
      <c r="B18" s="7" t="s">
        <v>130</v>
      </c>
      <c r="C18" s="7" t="s">
        <v>57</v>
      </c>
      <c r="D18" s="7" t="s">
        <v>56</v>
      </c>
      <c r="E18" s="8" t="n">
        <v>11556.3026866026</v>
      </c>
      <c r="F18" s="8" t="n">
        <v>12567.7317676382</v>
      </c>
      <c r="G18" s="8" t="n">
        <v>13867.6669408192</v>
      </c>
      <c r="H18" s="8" t="n">
        <v>13087.420943321</v>
      </c>
      <c r="I18" s="8" t="n">
        <v>13621.9023794031</v>
      </c>
      <c r="J18" s="8" t="n">
        <v>14262.2841914116</v>
      </c>
      <c r="K18" s="8" t="n">
        <v>12637.5220324406</v>
      </c>
      <c r="L18" s="8" t="n">
        <v>12464.0121044827</v>
      </c>
      <c r="M18" s="8" t="n">
        <v>13913.3415190124</v>
      </c>
      <c r="N18" s="8" t="n">
        <v>15658.210586693</v>
      </c>
      <c r="O18" s="8" t="n">
        <v>15874.5220531254</v>
      </c>
      <c r="P18" s="8" t="n">
        <v>16150.9304813473</v>
      </c>
      <c r="Q18" s="8" t="n">
        <v>18635.5104895754</v>
      </c>
      <c r="R18" s="8" t="n">
        <v>18891.2121169279</v>
      </c>
      <c r="S18" s="8" t="n">
        <v>22145.2660647429</v>
      </c>
      <c r="T18" s="8" t="n">
        <v>25103.565661423</v>
      </c>
      <c r="U18" s="8" t="n">
        <v>28419.5777395638</v>
      </c>
    </row>
    <row r="19" customFormat="false" ht="15" hidden="false" customHeight="false" outlineLevel="0" collapsed="false">
      <c r="A19" s="7" t="s">
        <v>129</v>
      </c>
      <c r="B19" s="7" t="s">
        <v>130</v>
      </c>
      <c r="C19" s="7" t="s">
        <v>61</v>
      </c>
      <c r="D19" s="7" t="s">
        <v>60</v>
      </c>
      <c r="E19" s="8" t="n">
        <v>163147702893.009</v>
      </c>
      <c r="F19" s="8" t="n">
        <v>190729280668.59</v>
      </c>
      <c r="G19" s="8" t="n">
        <v>223375954487.034</v>
      </c>
      <c r="H19" s="8" t="n">
        <v>219299490072.598</v>
      </c>
      <c r="I19" s="8" t="n">
        <v>237156858929.76</v>
      </c>
      <c r="J19" s="8" t="n">
        <v>250578055388.072</v>
      </c>
      <c r="K19" s="8" t="n">
        <v>226401379493.302</v>
      </c>
      <c r="L19" s="8" t="n">
        <v>236186977573.962</v>
      </c>
      <c r="M19" s="8" t="n">
        <v>273120944886.307</v>
      </c>
      <c r="N19" s="8" t="n">
        <v>310583581160.982</v>
      </c>
      <c r="O19" s="8" t="n">
        <v>317089370014.651</v>
      </c>
      <c r="P19" s="8" t="n">
        <v>317704377851.373</v>
      </c>
      <c r="Q19" s="8" t="n">
        <v>393088751264.328</v>
      </c>
      <c r="R19" s="8" t="n">
        <v>433728761282.735</v>
      </c>
      <c r="S19" s="8" t="n">
        <v>470257077151.136</v>
      </c>
      <c r="T19" s="8" t="n">
        <v>478889163359.631</v>
      </c>
      <c r="U19" s="8" t="n">
        <v>517233997757.263</v>
      </c>
    </row>
    <row r="20" customFormat="false" ht="15" hidden="false" customHeight="false" outlineLevel="0" collapsed="false">
      <c r="A20" s="7" t="s">
        <v>129</v>
      </c>
      <c r="B20" s="7" t="s">
        <v>130</v>
      </c>
      <c r="C20" s="7" t="s">
        <v>65</v>
      </c>
      <c r="D20" s="7" t="s">
        <v>64</v>
      </c>
      <c r="E20" s="8" t="n">
        <v>151988035548.481</v>
      </c>
      <c r="F20" s="8" t="n">
        <v>171122907547.42</v>
      </c>
      <c r="G20" s="8" t="n">
        <v>184376362912.853</v>
      </c>
      <c r="H20" s="8" t="n">
        <v>191603926250.166</v>
      </c>
      <c r="I20" s="8" t="n">
        <v>201300039793.076</v>
      </c>
      <c r="J20" s="8" t="n">
        <v>212366706459.743</v>
      </c>
      <c r="K20" s="8" t="n">
        <v>226401379493.302</v>
      </c>
      <c r="L20" s="8" t="n">
        <v>246685236768.802</v>
      </c>
      <c r="M20" s="8" t="n">
        <v>269113834726.091</v>
      </c>
      <c r="N20" s="8" t="n">
        <v>287298846000.796</v>
      </c>
      <c r="O20" s="8" t="n">
        <v>302633293540.257</v>
      </c>
      <c r="P20" s="8" t="n">
        <v>299377981164.611</v>
      </c>
      <c r="Q20" s="8" t="n">
        <v>336210956360.26</v>
      </c>
      <c r="R20" s="8" t="n">
        <v>361109563602.6</v>
      </c>
      <c r="S20" s="8" t="n">
        <v>374530972277.49</v>
      </c>
      <c r="T20" s="8" t="n">
        <v>382022867754.344</v>
      </c>
      <c r="U20" s="8" t="n">
        <v>399141795994.164</v>
      </c>
    </row>
    <row r="21" customFormat="false" ht="15" hidden="false" customHeight="false" outlineLevel="0" collapsed="false">
      <c r="A21" s="7" t="s">
        <v>129</v>
      </c>
      <c r="B21" s="7" t="s">
        <v>130</v>
      </c>
      <c r="C21" s="7" t="s">
        <v>70</v>
      </c>
      <c r="D21" s="7" t="s">
        <v>69</v>
      </c>
      <c r="E21" s="8" t="n">
        <v>167382446055.34</v>
      </c>
      <c r="F21" s="8" t="n">
        <v>202402082711.505</v>
      </c>
      <c r="G21" s="8" t="n">
        <v>235449472939.55</v>
      </c>
      <c r="H21" s="8" t="n">
        <v>223205473781.698</v>
      </c>
      <c r="I21" s="8" t="n">
        <v>231368432176.376</v>
      </c>
      <c r="J21" s="8" t="n">
        <v>248369810894.894</v>
      </c>
      <c r="K21" s="8" t="n">
        <v>216474598753.15</v>
      </c>
      <c r="L21" s="8" t="n">
        <v>222240229807.22</v>
      </c>
      <c r="M21" s="8" t="n">
        <v>258225723957.111</v>
      </c>
      <c r="N21" s="8" t="n">
        <v>298556337608.954</v>
      </c>
      <c r="O21" s="8" t="n">
        <v>295123034348.038</v>
      </c>
      <c r="P21" s="8" t="n">
        <v>283720588327.144</v>
      </c>
      <c r="Q21" s="8" t="n">
        <v>371023800786.561</v>
      </c>
      <c r="R21" s="8" t="n">
        <v>422016820864.164</v>
      </c>
      <c r="S21" s="8" t="n">
        <v>423641820629.422</v>
      </c>
      <c r="T21" s="8" t="n">
        <v>442176791003.799</v>
      </c>
      <c r="U21" s="8" t="n">
        <v>487505567677.639</v>
      </c>
    </row>
    <row r="22" customFormat="false" ht="15" hidden="false" customHeight="false" outlineLevel="0" collapsed="false">
      <c r="A22" s="7" t="s">
        <v>129</v>
      </c>
      <c r="B22" s="7" t="s">
        <v>130</v>
      </c>
      <c r="C22" s="7" t="s">
        <v>73</v>
      </c>
      <c r="D22" s="7" t="s">
        <v>72</v>
      </c>
      <c r="E22" s="8" t="n">
        <v>37.0040504665451</v>
      </c>
      <c r="F22" s="8" t="n">
        <v>39.8922068463219</v>
      </c>
      <c r="G22" s="8" t="n">
        <v>42.31819097341</v>
      </c>
      <c r="H22" s="8" t="n">
        <v>44.0229016385965</v>
      </c>
      <c r="I22" s="8" t="n">
        <v>45.7672881629144</v>
      </c>
      <c r="J22" s="8" t="n">
        <v>46.2206720325579</v>
      </c>
      <c r="K22" s="8" t="n">
        <v>47.1616367257527</v>
      </c>
      <c r="L22" s="8" t="n">
        <v>49.906428862355</v>
      </c>
      <c r="M22" s="8" t="n">
        <v>51.6925275786294</v>
      </c>
      <c r="N22" s="8" t="n">
        <v>52.232575443975</v>
      </c>
      <c r="O22" s="8" t="n">
        <v>52.6128934811742</v>
      </c>
      <c r="P22" s="8" t="n">
        <v>52.4338855199248</v>
      </c>
      <c r="Q22" s="8" t="n">
        <v>57.0379760723016</v>
      </c>
      <c r="R22" s="8" t="n">
        <v>62.3525162455456</v>
      </c>
      <c r="S22" s="8" t="n">
        <v>57.8812710195434</v>
      </c>
      <c r="T22" s="8" t="n">
        <v>52.1798133919011</v>
      </c>
      <c r="U22" s="8" t="n">
        <v>49.9505650987029</v>
      </c>
    </row>
    <row r="23" customFormat="false" ht="15" hidden="false" customHeight="false" outlineLevel="0" collapsed="false">
      <c r="A23" s="7" t="s">
        <v>129</v>
      </c>
      <c r="B23" s="7" t="s">
        <v>130</v>
      </c>
      <c r="C23" s="7" t="s">
        <v>78</v>
      </c>
      <c r="D23" s="7" t="s">
        <v>77</v>
      </c>
      <c r="E23" s="8" t="n">
        <v>37.9645460598818</v>
      </c>
      <c r="F23" s="8" t="n">
        <v>42.3336454756702</v>
      </c>
      <c r="G23" s="8" t="n">
        <v>44.6054983103518</v>
      </c>
      <c r="H23" s="8" t="n">
        <v>44.8070016680619</v>
      </c>
      <c r="I23" s="8" t="n">
        <v>44.6502190786485</v>
      </c>
      <c r="J23" s="8" t="n">
        <v>45.8133476787599</v>
      </c>
      <c r="K23" s="8" t="n">
        <v>45.0937905484415</v>
      </c>
      <c r="L23" s="8" t="n">
        <v>46.9594739437073</v>
      </c>
      <c r="M23" s="8" t="n">
        <v>48.8733676676502</v>
      </c>
      <c r="N23" s="8" t="n">
        <v>50.2098867240303</v>
      </c>
      <c r="O23" s="8" t="n">
        <v>48.9681403361987</v>
      </c>
      <c r="P23" s="8" t="n">
        <v>46.8252057104188</v>
      </c>
      <c r="Q23" s="8" t="n">
        <v>53.836306949643</v>
      </c>
      <c r="R23" s="8" t="n">
        <v>60.6688166147992</v>
      </c>
      <c r="S23" s="8" t="n">
        <v>52.1436640222717</v>
      </c>
      <c r="T23" s="8" t="n">
        <v>48.1796294552629</v>
      </c>
      <c r="U23" s="8" t="n">
        <v>47.07961715558</v>
      </c>
    </row>
    <row r="24" customFormat="false" ht="15" hidden="false" customHeight="false" outlineLevel="0" collapsed="false">
      <c r="A24" s="7" t="s">
        <v>129</v>
      </c>
      <c r="B24" s="7" t="s">
        <v>130</v>
      </c>
      <c r="C24" s="7" t="s">
        <v>82</v>
      </c>
      <c r="D24" s="7" t="s">
        <v>81</v>
      </c>
      <c r="E24" s="8" t="n">
        <v>74.9685965264269</v>
      </c>
      <c r="F24" s="8" t="n">
        <v>82.2258523219922</v>
      </c>
      <c r="G24" s="8" t="n">
        <v>86.9236892837618</v>
      </c>
      <c r="H24" s="8" t="n">
        <v>88.8299033066583</v>
      </c>
      <c r="I24" s="8" t="n">
        <v>90.4175072415629</v>
      </c>
      <c r="J24" s="8" t="n">
        <v>92.0340197113178</v>
      </c>
      <c r="K24" s="8" t="n">
        <v>92.2554272741942</v>
      </c>
      <c r="L24" s="8" t="n">
        <v>96.8659028060623</v>
      </c>
      <c r="M24" s="8" t="n">
        <v>100.56589524628</v>
      </c>
      <c r="N24" s="8" t="n">
        <v>102.442462168005</v>
      </c>
      <c r="O24" s="8" t="n">
        <v>101.581033817373</v>
      </c>
      <c r="P24" s="8" t="n">
        <v>99.2590912303436</v>
      </c>
      <c r="Q24" s="8" t="n">
        <v>110.874283021945</v>
      </c>
      <c r="R24" s="8" t="n">
        <v>123.021332860345</v>
      </c>
      <c r="S24" s="8" t="n">
        <v>110.024935041815</v>
      </c>
      <c r="T24" s="8" t="n">
        <v>100.359442847164</v>
      </c>
      <c r="U24" s="8" t="n">
        <v>97.0301822542829</v>
      </c>
    </row>
    <row r="25" customFormat="false" ht="15" hidden="false" customHeight="false" outlineLevel="0" collapsed="false">
      <c r="A25" s="7" t="s">
        <v>129</v>
      </c>
      <c r="B25" s="7" t="s">
        <v>130</v>
      </c>
      <c r="C25" s="7" t="s">
        <v>86</v>
      </c>
      <c r="D25" s="7" t="s">
        <v>85</v>
      </c>
      <c r="E25" s="8" t="n">
        <v>14025000000</v>
      </c>
      <c r="F25" s="8" t="n">
        <v>18861000000</v>
      </c>
      <c r="G25" s="8" t="n">
        <v>18851000000</v>
      </c>
      <c r="H25" s="8" t="n">
        <v>7616000000</v>
      </c>
      <c r="I25" s="8" t="n">
        <v>1342000000</v>
      </c>
      <c r="J25" s="8" t="n">
        <v>20877000000</v>
      </c>
      <c r="K25" s="8" t="n">
        <v>15820000000</v>
      </c>
      <c r="L25" s="8" t="n">
        <v>18060000000</v>
      </c>
      <c r="M25" s="8" t="n">
        <v>12565000000</v>
      </c>
      <c r="N25" s="8" t="n">
        <v>19908000000</v>
      </c>
      <c r="O25" s="8" t="n">
        <v>19012000000</v>
      </c>
      <c r="P25" s="8" t="n">
        <v>20086000000</v>
      </c>
      <c r="Q25" s="8" t="n">
        <v>37512000000</v>
      </c>
      <c r="R25" s="8" t="n">
        <v>41780000000</v>
      </c>
      <c r="S25" s="8" t="n">
        <v>35660000000</v>
      </c>
      <c r="T25" s="8" t="n">
        <v>20606000000</v>
      </c>
      <c r="U25" s="8" t="n">
        <v>20940000000</v>
      </c>
    </row>
    <row r="26" customFormat="false" ht="15" hidden="false" customHeight="false" outlineLevel="0" collapsed="false">
      <c r="A26" s="7" t="s">
        <v>129</v>
      </c>
      <c r="B26" s="7" t="s">
        <v>130</v>
      </c>
      <c r="C26" s="7" t="s">
        <v>89</v>
      </c>
      <c r="D26" s="7" t="s">
        <v>88</v>
      </c>
      <c r="E26" s="8" t="n">
        <v>3.18105494953636</v>
      </c>
      <c r="F26" s="8" t="n">
        <v>3.94489462074706</v>
      </c>
      <c r="G26" s="8" t="n">
        <v>3.57128957712437</v>
      </c>
      <c r="H26" s="8" t="n">
        <v>1.52886091421625</v>
      </c>
      <c r="I26" s="8" t="n">
        <v>0.258983446617592</v>
      </c>
      <c r="J26" s="8" t="n">
        <v>3.85089176515991</v>
      </c>
      <c r="K26" s="8" t="n">
        <v>3.29546177974363</v>
      </c>
      <c r="L26" s="8" t="n">
        <v>3.81608721408819</v>
      </c>
      <c r="M26" s="8" t="n">
        <v>2.37812815599278</v>
      </c>
      <c r="N26" s="8" t="n">
        <v>3.34803954559233</v>
      </c>
      <c r="O26" s="8" t="n">
        <v>3.15455649244208</v>
      </c>
      <c r="P26" s="8" t="n">
        <v>3.31499059495462</v>
      </c>
      <c r="Q26" s="8" t="n">
        <v>5.44306737738578</v>
      </c>
      <c r="R26" s="8" t="n">
        <v>6.00626096603428</v>
      </c>
      <c r="S26" s="8" t="n">
        <v>4.38918673390545</v>
      </c>
      <c r="T26" s="8" t="n">
        <v>2.24523191798779</v>
      </c>
      <c r="U26" s="8" t="n">
        <v>2.02222753667037</v>
      </c>
    </row>
    <row r="27" customFormat="false" ht="15" hidden="false" customHeight="false" outlineLevel="0" collapsed="false">
      <c r="A27" s="7" t="s">
        <v>129</v>
      </c>
      <c r="B27" s="7" t="s">
        <v>130</v>
      </c>
      <c r="C27" s="7" t="s">
        <v>93</v>
      </c>
      <c r="D27" s="7" t="s">
        <v>92</v>
      </c>
      <c r="E27" s="8" t="n">
        <v>16.6765529453841</v>
      </c>
      <c r="F27" s="8" t="n">
        <v>16.1698747962404</v>
      </c>
      <c r="G27" s="8" t="n">
        <v>16.1389060287032</v>
      </c>
      <c r="H27" s="8" t="n">
        <v>16.5564693800308</v>
      </c>
      <c r="I27" s="8" t="n">
        <v>15.5581865074907</v>
      </c>
      <c r="J27" s="8" t="n">
        <v>16.9081122802504</v>
      </c>
      <c r="K27" s="8" t="n">
        <v>17.6693391336256</v>
      </c>
      <c r="L27" s="8" t="n">
        <v>18.2752041844413</v>
      </c>
      <c r="M27" s="8" t="n">
        <v>16.8858634359557</v>
      </c>
      <c r="N27" s="8" t="n">
        <v>16.4851063076839</v>
      </c>
      <c r="O27" s="8" t="n">
        <v>16.6614878848919</v>
      </c>
      <c r="P27" s="8" t="n">
        <v>16.2083685829628</v>
      </c>
      <c r="Q27" s="8" t="n">
        <v>17.3006156636927</v>
      </c>
      <c r="R27" s="8" t="n">
        <v>17.6513214118709</v>
      </c>
      <c r="S27" s="8" t="n">
        <v>17.4578672165103</v>
      </c>
      <c r="T27" s="8" t="n">
        <v>16.0769928111431</v>
      </c>
      <c r="U27" s="8" t="n">
        <v>15.0456983931731</v>
      </c>
    </row>
    <row r="28" customFormat="false" ht="15" hidden="false" customHeight="false" outlineLevel="0" collapsed="false">
      <c r="A28" s="7" t="s">
        <v>129</v>
      </c>
      <c r="B28" s="7" t="s">
        <v>130</v>
      </c>
      <c r="C28" s="7" t="s">
        <v>97</v>
      </c>
      <c r="D28" s="7" t="s">
        <v>96</v>
      </c>
      <c r="E28" s="8" t="n">
        <v>-3.94518857698649</v>
      </c>
      <c r="F28" s="8" t="n">
        <v>-5.16657584018312</v>
      </c>
      <c r="G28" s="8" t="n">
        <v>-5.11055687403888</v>
      </c>
      <c r="H28" s="8" t="n">
        <v>-4.11182485634079</v>
      </c>
      <c r="I28" s="8" t="n">
        <v>-1.98155143805472</v>
      </c>
      <c r="J28" s="8" t="n">
        <v>-2.97288032663133</v>
      </c>
      <c r="K28" s="8" t="n">
        <v>-1.3254755565429</v>
      </c>
      <c r="L28" s="8" t="n">
        <v>-1.06875798055693</v>
      </c>
      <c r="M28" s="8" t="n">
        <v>-1.18631971999704</v>
      </c>
      <c r="N28" s="8" t="n">
        <v>-1.96597258830492</v>
      </c>
      <c r="O28" s="8" t="n">
        <v>-0.272945793712772</v>
      </c>
      <c r="P28" s="8" t="n">
        <v>2.39835922164097</v>
      </c>
      <c r="Q28" s="8" t="n">
        <v>-1.30156521580162</v>
      </c>
      <c r="R28" s="8" t="n">
        <v>-2.27455866454271</v>
      </c>
      <c r="S28" s="8" t="n">
        <v>1.53683077845046</v>
      </c>
      <c r="T28" s="8" t="n">
        <v>0.30454349270969</v>
      </c>
      <c r="U28" s="8" t="n">
        <v>-0.953363430850522</v>
      </c>
    </row>
    <row r="29" customFormat="false" ht="15" hidden="false" customHeight="false" outlineLevel="0" collapsed="false">
      <c r="A29" s="7" t="s">
        <v>129</v>
      </c>
      <c r="B29" s="7" t="s">
        <v>130</v>
      </c>
      <c r="C29" s="7" t="s">
        <v>102</v>
      </c>
      <c r="D29" s="7" t="s">
        <v>101</v>
      </c>
      <c r="E29" s="8" t="n">
        <v>136503000000</v>
      </c>
      <c r="F29" s="8" t="n">
        <v>159724000000</v>
      </c>
      <c r="G29" s="8" t="n">
        <v>188696000000</v>
      </c>
      <c r="H29" s="8" t="n">
        <v>185374000000</v>
      </c>
      <c r="I29" s="8" t="n">
        <v>204984000000</v>
      </c>
      <c r="J29" s="8" t="n">
        <v>220052000000</v>
      </c>
      <c r="K29" s="8" t="n">
        <v>199124000000</v>
      </c>
      <c r="L29" s="8" t="n">
        <v>203817000000</v>
      </c>
      <c r="M29" s="8" t="n">
        <v>234364000000</v>
      </c>
      <c r="N29" s="8" t="n">
        <v>263569000000</v>
      </c>
      <c r="O29" s="8" t="n">
        <v>266595000000</v>
      </c>
      <c r="P29" s="8" t="n">
        <v>273835000000</v>
      </c>
      <c r="Q29" s="8" t="n">
        <v>340634000000</v>
      </c>
      <c r="R29" s="8" t="n">
        <v>360542000000</v>
      </c>
      <c r="S29" s="8" t="n">
        <v>381517000000</v>
      </c>
      <c r="T29" s="8" t="n">
        <v>382845000000</v>
      </c>
      <c r="U29" s="8" t="n">
        <v>413895000000</v>
      </c>
    </row>
    <row r="30" customFormat="false" ht="15" hidden="false" customHeight="false" outlineLevel="0" collapsed="false">
      <c r="A30" s="7" t="s">
        <v>131</v>
      </c>
      <c r="B30" s="7" t="s">
        <v>132</v>
      </c>
      <c r="C30" s="7" t="s">
        <v>46</v>
      </c>
      <c r="D30" s="7" t="s">
        <v>45</v>
      </c>
      <c r="E30" s="8" t="n">
        <v>206971882704.716</v>
      </c>
      <c r="F30" s="8" t="n">
        <v>211168667286.27</v>
      </c>
      <c r="G30" s="8" t="n">
        <v>231429378717.312</v>
      </c>
      <c r="H30" s="8" t="n">
        <v>210363223087.728</v>
      </c>
      <c r="I30" s="8" t="n">
        <v>213024360541.119</v>
      </c>
      <c r="J30" s="8" t="n">
        <v>210911285077.683</v>
      </c>
      <c r="K30" s="8" t="n">
        <v>189107698561.919</v>
      </c>
      <c r="L30" s="8" t="n">
        <v>198160659303.939</v>
      </c>
      <c r="M30" s="8" t="n">
        <v>221563575696.217</v>
      </c>
      <c r="N30" s="8" t="n">
        <v>251992360762.236</v>
      </c>
      <c r="O30" s="8" t="n">
        <v>256794209028.77</v>
      </c>
      <c r="P30" s="8" t="n">
        <v>251109660602.536</v>
      </c>
      <c r="Q30" s="8" t="n">
        <v>290972714482.313</v>
      </c>
      <c r="R30" s="8" t="n">
        <v>301831228325.556</v>
      </c>
      <c r="S30" s="8" t="n">
        <v>345059295659.911</v>
      </c>
      <c r="T30" s="8" t="n">
        <v>347082562221.377</v>
      </c>
      <c r="U30" s="8" t="n">
        <v>391026962800.475</v>
      </c>
    </row>
    <row r="31" customFormat="false" ht="15" hidden="false" customHeight="false" outlineLevel="0" collapsed="false">
      <c r="A31" s="7" t="s">
        <v>131</v>
      </c>
      <c r="B31" s="7" t="s">
        <v>132</v>
      </c>
      <c r="C31" s="7" t="s">
        <v>52</v>
      </c>
      <c r="D31" s="7" t="s">
        <v>51</v>
      </c>
      <c r="E31" s="8" t="n">
        <v>-4.79832416684926</v>
      </c>
      <c r="F31" s="8" t="n">
        <v>2.71466509907701</v>
      </c>
      <c r="G31" s="8" t="n">
        <v>1.77238085338473</v>
      </c>
      <c r="H31" s="8" t="n">
        <v>-0.770668190622743</v>
      </c>
      <c r="I31" s="8" t="n">
        <v>-0.0418124160447491</v>
      </c>
      <c r="J31" s="8" t="n">
        <v>2.24521219862635</v>
      </c>
      <c r="K31" s="8" t="n">
        <v>4.95875848915604</v>
      </c>
      <c r="L31" s="8" t="n">
        <v>2.58087013921376</v>
      </c>
      <c r="M31" s="8" t="n">
        <v>5.17356529967881</v>
      </c>
      <c r="N31" s="8" t="n">
        <v>2.83030588267866</v>
      </c>
      <c r="O31" s="8" t="n">
        <v>3.56577658128261</v>
      </c>
      <c r="P31" s="8" t="n">
        <v>-5.30487955463876</v>
      </c>
      <c r="Q31" s="8" t="n">
        <v>4.02901832055149</v>
      </c>
      <c r="R31" s="8" t="n">
        <v>2.8471706583814</v>
      </c>
      <c r="S31" s="8" t="n">
        <v>0.0475803308973752</v>
      </c>
      <c r="T31" s="8" t="n">
        <v>1.25131096245923</v>
      </c>
      <c r="U31" s="8" t="n">
        <v>2.58046673293437</v>
      </c>
    </row>
    <row r="32" customFormat="false" ht="15" hidden="false" customHeight="false" outlineLevel="0" collapsed="false">
      <c r="A32" s="7" t="s">
        <v>131</v>
      </c>
      <c r="B32" s="7" t="s">
        <v>132</v>
      </c>
      <c r="C32" s="7" t="s">
        <v>57</v>
      </c>
      <c r="D32" s="7" t="s">
        <v>56</v>
      </c>
      <c r="E32" s="8" t="n">
        <v>19817.4215836554</v>
      </c>
      <c r="F32" s="8" t="n">
        <v>20160.4355077059</v>
      </c>
      <c r="G32" s="8" t="n">
        <v>22049.1080788682</v>
      </c>
      <c r="H32" s="8" t="n">
        <v>20014.0354015165</v>
      </c>
      <c r="I32" s="8" t="n">
        <v>20260.4954999375</v>
      </c>
      <c r="J32" s="8" t="n">
        <v>20038.4163180257</v>
      </c>
      <c r="K32" s="8" t="n">
        <v>17931.5987670768</v>
      </c>
      <c r="L32" s="8" t="n">
        <v>18753.9686718096</v>
      </c>
      <c r="M32" s="8" t="n">
        <v>20913.197632212</v>
      </c>
      <c r="N32" s="8" t="n">
        <v>23705.9329811299</v>
      </c>
      <c r="O32" s="8" t="n">
        <v>24062.7190013343</v>
      </c>
      <c r="P32" s="8" t="n">
        <v>23472.8915454417</v>
      </c>
      <c r="Q32" s="8" t="n">
        <v>27696.4619527544</v>
      </c>
      <c r="R32" s="8" t="n">
        <v>28282.2236715857</v>
      </c>
      <c r="S32" s="8" t="n">
        <v>31761.5944102491</v>
      </c>
      <c r="T32" s="8" t="n">
        <v>31827.7552539413</v>
      </c>
      <c r="U32" s="8" t="n">
        <v>35917.2724081665</v>
      </c>
    </row>
    <row r="33" customFormat="false" ht="15" hidden="false" customHeight="false" outlineLevel="0" collapsed="false">
      <c r="A33" s="7" t="s">
        <v>131</v>
      </c>
      <c r="B33" s="7" t="s">
        <v>132</v>
      </c>
      <c r="C33" s="7" t="s">
        <v>61</v>
      </c>
      <c r="D33" s="7" t="s">
        <v>60</v>
      </c>
      <c r="E33" s="8" t="n">
        <v>121028432041.127</v>
      </c>
      <c r="F33" s="8" t="n">
        <v>137030722710.196</v>
      </c>
      <c r="G33" s="8" t="n">
        <v>162580614171.819</v>
      </c>
      <c r="H33" s="8" t="n">
        <v>157992900012.77</v>
      </c>
      <c r="I33" s="8" t="n">
        <v>161004654093.942</v>
      </c>
      <c r="J33" s="8" t="n">
        <v>171578513790.196</v>
      </c>
      <c r="K33" s="8" t="n">
        <v>151309924284.771</v>
      </c>
      <c r="L33" s="8" t="n">
        <v>154779987656.804</v>
      </c>
      <c r="M33" s="8" t="n">
        <v>172120406679.12</v>
      </c>
      <c r="N33" s="8" t="n">
        <v>190530873335.148</v>
      </c>
      <c r="O33" s="8" t="n">
        <v>185212440994.669</v>
      </c>
      <c r="P33" s="8" t="n">
        <v>170154349910.061</v>
      </c>
      <c r="Q33" s="8" t="n">
        <v>205281381420.63</v>
      </c>
      <c r="R33" s="8" t="n">
        <v>218554266386.95</v>
      </c>
      <c r="S33" s="8" t="n">
        <v>236031278976.789</v>
      </c>
      <c r="T33" s="8" t="n">
        <v>238995944034.86</v>
      </c>
      <c r="U33" s="8" t="n">
        <v>261773375377.022</v>
      </c>
    </row>
    <row r="34" customFormat="false" ht="15" hidden="false" customHeight="false" outlineLevel="0" collapsed="false">
      <c r="A34" s="7" t="s">
        <v>131</v>
      </c>
      <c r="B34" s="7" t="s">
        <v>132</v>
      </c>
      <c r="C34" s="7" t="s">
        <v>65</v>
      </c>
      <c r="D34" s="7" t="s">
        <v>64</v>
      </c>
      <c r="E34" s="8" t="n">
        <v>100411858591.087</v>
      </c>
      <c r="F34" s="8" t="n">
        <v>115129733580.089</v>
      </c>
      <c r="G34" s="8" t="n">
        <v>125678516192.27</v>
      </c>
      <c r="H34" s="8" t="n">
        <v>131059016359.54</v>
      </c>
      <c r="I34" s="8" t="n">
        <v>131397941630.636</v>
      </c>
      <c r="J34" s="8" t="n">
        <v>142864175439.286</v>
      </c>
      <c r="K34" s="8" t="n">
        <v>151309924284.771</v>
      </c>
      <c r="L34" s="8" t="n">
        <v>157570285605.742</v>
      </c>
      <c r="M34" s="8" t="n">
        <v>168762116201.436</v>
      </c>
      <c r="N34" s="8" t="n">
        <v>174671787428.767</v>
      </c>
      <c r="O34" s="8" t="n">
        <v>176962730416.883</v>
      </c>
      <c r="P34" s="8" t="n">
        <v>161892361668.066</v>
      </c>
      <c r="Q34" s="8" t="n">
        <v>175091590730.81</v>
      </c>
      <c r="R34" s="8" t="n">
        <v>184107052132.862</v>
      </c>
      <c r="S34" s="8" t="n">
        <v>188429825066.207</v>
      </c>
      <c r="T34" s="8" t="n">
        <v>191303926122.37</v>
      </c>
      <c r="U34" s="8" t="n">
        <v>198768931485.638</v>
      </c>
    </row>
    <row r="35" customFormat="false" ht="15" hidden="false" customHeight="false" outlineLevel="0" collapsed="false">
      <c r="A35" s="7" t="s">
        <v>131</v>
      </c>
      <c r="B35" s="7" t="s">
        <v>132</v>
      </c>
      <c r="C35" s="7" t="s">
        <v>70</v>
      </c>
      <c r="D35" s="7" t="s">
        <v>69</v>
      </c>
      <c r="E35" s="8" t="n">
        <v>112951738970.781</v>
      </c>
      <c r="F35" s="8" t="n">
        <v>130639247051.431</v>
      </c>
      <c r="G35" s="8" t="n">
        <v>153901041200.653</v>
      </c>
      <c r="H35" s="8" t="n">
        <v>148043927978.547</v>
      </c>
      <c r="I35" s="8" t="n">
        <v>148950542267.945</v>
      </c>
      <c r="J35" s="8" t="n">
        <v>158318631819.824</v>
      </c>
      <c r="K35" s="8" t="n">
        <v>139950729203.72</v>
      </c>
      <c r="L35" s="8" t="n">
        <v>139581736162.494</v>
      </c>
      <c r="M35" s="8" t="n">
        <v>155241626146.102</v>
      </c>
      <c r="N35" s="8" t="n">
        <v>175215168028.716</v>
      </c>
      <c r="O35" s="8" t="n">
        <v>169560596975.875</v>
      </c>
      <c r="P35" s="8" t="n">
        <v>153225751553.732</v>
      </c>
      <c r="Q35" s="8" t="n">
        <v>194451452690.495</v>
      </c>
      <c r="R35" s="8" t="n">
        <v>216117395213.426</v>
      </c>
      <c r="S35" s="8" t="n">
        <v>219076391730.518</v>
      </c>
      <c r="T35" s="8" t="n">
        <v>217301727912.937</v>
      </c>
      <c r="U35" s="8" t="n">
        <v>238895347774.426</v>
      </c>
    </row>
    <row r="36" customFormat="false" ht="15" hidden="false" customHeight="false" outlineLevel="0" collapsed="false">
      <c r="A36" s="7" t="s">
        <v>131</v>
      </c>
      <c r="B36" s="7" t="s">
        <v>132</v>
      </c>
      <c r="C36" s="7" t="s">
        <v>73</v>
      </c>
      <c r="D36" s="7" t="s">
        <v>72</v>
      </c>
      <c r="E36" s="8" t="n">
        <v>58.4757844686548</v>
      </c>
      <c r="F36" s="8" t="n">
        <v>64.8915980155479</v>
      </c>
      <c r="G36" s="8" t="n">
        <v>70.2506376126123</v>
      </c>
      <c r="H36" s="8" t="n">
        <v>75.1048104767256</v>
      </c>
      <c r="I36" s="8" t="n">
        <v>75.5803954463061</v>
      </c>
      <c r="J36" s="8" t="n">
        <v>81.3510352122697</v>
      </c>
      <c r="K36" s="8" t="n">
        <v>80.0125671431762</v>
      </c>
      <c r="L36" s="8" t="n">
        <v>78.108333006403</v>
      </c>
      <c r="M36" s="8" t="n">
        <v>77.6844326231276</v>
      </c>
      <c r="N36" s="8" t="n">
        <v>75.6097814865591</v>
      </c>
      <c r="O36" s="8" t="n">
        <v>72.1248511386482</v>
      </c>
      <c r="P36" s="8" t="n">
        <v>67.7609732344735</v>
      </c>
      <c r="Q36" s="8" t="n">
        <v>70.550045142844</v>
      </c>
      <c r="R36" s="8" t="n">
        <v>72.4094281428088</v>
      </c>
      <c r="S36" s="8" t="n">
        <v>68.4031069284452</v>
      </c>
      <c r="T36" s="8" t="n">
        <v>68.8585282145125</v>
      </c>
      <c r="U36" s="8" t="n">
        <v>66.9450959346234</v>
      </c>
    </row>
    <row r="37" customFormat="false" ht="15" hidden="false" customHeight="false" outlineLevel="0" collapsed="false">
      <c r="A37" s="7" t="s">
        <v>131</v>
      </c>
      <c r="B37" s="7" t="s">
        <v>132</v>
      </c>
      <c r="C37" s="7" t="s">
        <v>78</v>
      </c>
      <c r="D37" s="7" t="s">
        <v>77</v>
      </c>
      <c r="E37" s="8" t="n">
        <v>54.5734703162206</v>
      </c>
      <c r="F37" s="8" t="n">
        <v>61.8648821012499</v>
      </c>
      <c r="G37" s="8" t="n">
        <v>66.5002179298254</v>
      </c>
      <c r="H37" s="8" t="n">
        <v>70.375384920209</v>
      </c>
      <c r="I37" s="8" t="n">
        <v>69.9218351786551</v>
      </c>
      <c r="J37" s="8" t="n">
        <v>75.0640876146159</v>
      </c>
      <c r="K37" s="8" t="n">
        <v>74.0058338544563</v>
      </c>
      <c r="L37" s="8" t="n">
        <v>70.4386716580323</v>
      </c>
      <c r="M37" s="8" t="n">
        <v>70.066402231634</v>
      </c>
      <c r="N37" s="8" t="n">
        <v>69.5319364042301</v>
      </c>
      <c r="O37" s="8" t="n">
        <v>66.0297588552233</v>
      </c>
      <c r="P37" s="8" t="n">
        <v>61.0194570714913</v>
      </c>
      <c r="Q37" s="8" t="n">
        <v>66.8280711600245</v>
      </c>
      <c r="R37" s="8" t="n">
        <v>71.6020659665878</v>
      </c>
      <c r="S37" s="8" t="n">
        <v>63.489491367431</v>
      </c>
      <c r="T37" s="8" t="n">
        <v>62.6080799110665</v>
      </c>
      <c r="U37" s="8" t="n">
        <v>61.0943414396528</v>
      </c>
    </row>
    <row r="38" customFormat="false" ht="15" hidden="false" customHeight="false" outlineLevel="0" collapsed="false">
      <c r="A38" s="7" t="s">
        <v>131</v>
      </c>
      <c r="B38" s="7" t="s">
        <v>132</v>
      </c>
      <c r="C38" s="7" t="s">
        <v>82</v>
      </c>
      <c r="D38" s="7" t="s">
        <v>81</v>
      </c>
      <c r="E38" s="8" t="n">
        <v>113.049254784875</v>
      </c>
      <c r="F38" s="8" t="n">
        <v>126.756480116798</v>
      </c>
      <c r="G38" s="8" t="n">
        <v>136.750855542438</v>
      </c>
      <c r="H38" s="8" t="n">
        <v>145.480195396935</v>
      </c>
      <c r="I38" s="8" t="n">
        <v>145.502230624961</v>
      </c>
      <c r="J38" s="8" t="n">
        <v>156.415122826886</v>
      </c>
      <c r="K38" s="8" t="n">
        <v>154.018400997633</v>
      </c>
      <c r="L38" s="8" t="n">
        <v>148.547004664435</v>
      </c>
      <c r="M38" s="8" t="n">
        <v>147.750834854762</v>
      </c>
      <c r="N38" s="8" t="n">
        <v>145.141717890789</v>
      </c>
      <c r="O38" s="8" t="n">
        <v>138.154609993871</v>
      </c>
      <c r="P38" s="8" t="n">
        <v>128.780430305965</v>
      </c>
      <c r="Q38" s="8" t="n">
        <v>137.378116302868</v>
      </c>
      <c r="R38" s="8" t="n">
        <v>144.011494109397</v>
      </c>
      <c r="S38" s="8" t="n">
        <v>131.892598295876</v>
      </c>
      <c r="T38" s="8" t="n">
        <v>131.466608125579</v>
      </c>
      <c r="U38" s="8" t="n">
        <v>128.039437374276</v>
      </c>
    </row>
    <row r="39" customFormat="false" ht="15" hidden="false" customHeight="false" outlineLevel="0" collapsed="false">
      <c r="A39" s="7" t="s">
        <v>131</v>
      </c>
      <c r="B39" s="7" t="s">
        <v>132</v>
      </c>
      <c r="C39" s="7" t="s">
        <v>86</v>
      </c>
      <c r="D39" s="7" t="s">
        <v>85</v>
      </c>
      <c r="E39" s="8" t="n">
        <v>5271613701.7927</v>
      </c>
      <c r="F39" s="8" t="n">
        <v>10167834374.8185</v>
      </c>
      <c r="G39" s="8" t="n">
        <v>4188736491.29369</v>
      </c>
      <c r="H39" s="8" t="n">
        <v>9433199804.77647</v>
      </c>
      <c r="I39" s="8" t="n">
        <v>7357578652.57</v>
      </c>
      <c r="J39" s="8" t="n">
        <v>8088661929.8803</v>
      </c>
      <c r="K39" s="8" t="n">
        <v>1699914616.60242</v>
      </c>
      <c r="L39" s="8" t="n">
        <v>10850612308.2062</v>
      </c>
      <c r="M39" s="8" t="n">
        <v>11234740946.0941</v>
      </c>
      <c r="N39" s="8" t="n">
        <v>8324668391.46793</v>
      </c>
      <c r="O39" s="8" t="n">
        <v>10752120870.7679</v>
      </c>
      <c r="P39" s="8" t="n">
        <v>8515481807.56743</v>
      </c>
      <c r="Q39" s="8" t="n">
        <v>12890950336.4654</v>
      </c>
      <c r="R39" s="8" t="n">
        <v>9143600294.9133</v>
      </c>
      <c r="S39" s="8" t="n">
        <v>11891578042.9175</v>
      </c>
      <c r="T39" s="8" t="n">
        <v>13513304248.2648</v>
      </c>
      <c r="U39" s="8" t="n">
        <v>10503861266.7468</v>
      </c>
    </row>
    <row r="40" customFormat="false" ht="15" hidden="false" customHeight="false" outlineLevel="0" collapsed="false">
      <c r="A40" s="7" t="s">
        <v>131</v>
      </c>
      <c r="B40" s="7" t="s">
        <v>132</v>
      </c>
      <c r="C40" s="7" t="s">
        <v>89</v>
      </c>
      <c r="D40" s="7" t="s">
        <v>88</v>
      </c>
      <c r="E40" s="8" t="n">
        <v>2.54701925348654</v>
      </c>
      <c r="F40" s="8" t="n">
        <v>4.81502985527419</v>
      </c>
      <c r="G40" s="8" t="n">
        <v>1.80994155301699</v>
      </c>
      <c r="H40" s="8" t="n">
        <v>4.48424380759869</v>
      </c>
      <c r="I40" s="8" t="n">
        <v>3.45386726376292</v>
      </c>
      <c r="J40" s="8" t="n">
        <v>3.83510153423089</v>
      </c>
      <c r="K40" s="8" t="n">
        <v>0.898913491904098</v>
      </c>
      <c r="L40" s="8" t="n">
        <v>5.47566421423918</v>
      </c>
      <c r="M40" s="8" t="n">
        <v>5.07066240955503</v>
      </c>
      <c r="N40" s="8" t="n">
        <v>3.30353998283407</v>
      </c>
      <c r="O40" s="8" t="n">
        <v>4.18705737619001</v>
      </c>
      <c r="P40" s="8" t="n">
        <v>3.39114066226469</v>
      </c>
      <c r="Q40" s="8" t="n">
        <v>4.43029524586196</v>
      </c>
      <c r="R40" s="8" t="n">
        <v>3.02937517288668</v>
      </c>
      <c r="S40" s="8" t="n">
        <v>3.4462419046487</v>
      </c>
      <c r="T40" s="8" t="n">
        <v>3.8933976290188</v>
      </c>
      <c r="U40" s="8" t="n">
        <v>2.68622429295406</v>
      </c>
    </row>
    <row r="41" customFormat="false" ht="15" hidden="false" customHeight="false" outlineLevel="0" collapsed="false">
      <c r="A41" s="7" t="s">
        <v>131</v>
      </c>
      <c r="B41" s="7" t="s">
        <v>132</v>
      </c>
      <c r="C41" s="7" t="s">
        <v>93</v>
      </c>
      <c r="D41" s="7" t="s">
        <v>92</v>
      </c>
      <c r="E41" s="8" t="n">
        <v>20.3438089674199</v>
      </c>
      <c r="F41" s="8" t="n">
        <v>20.6982379160476</v>
      </c>
      <c r="G41" s="8" t="n">
        <v>21.8643072456478</v>
      </c>
      <c r="H41" s="8" t="n">
        <v>21.7136033387837</v>
      </c>
      <c r="I41" s="8" t="n">
        <v>21.7617319791193</v>
      </c>
      <c r="J41" s="8" t="n">
        <v>23.4691665652122</v>
      </c>
      <c r="K41" s="8" t="n">
        <v>23.7339506123741</v>
      </c>
      <c r="L41" s="8" t="n">
        <v>23.7610958428917</v>
      </c>
      <c r="M41" s="8" t="n">
        <v>23.1824532218752</v>
      </c>
      <c r="N41" s="8" t="n">
        <v>22.3060378872535</v>
      </c>
      <c r="O41" s="8" t="n">
        <v>22.1266766165116</v>
      </c>
      <c r="P41" s="8" t="n">
        <v>20.7968233716829</v>
      </c>
      <c r="Q41" s="8" t="n">
        <v>19.640981617073</v>
      </c>
      <c r="R41" s="8" t="n">
        <v>19.3950613571424</v>
      </c>
      <c r="S41" s="8" t="n">
        <v>20.4330612801752</v>
      </c>
      <c r="T41" s="8" t="n">
        <v>19.8828069640729</v>
      </c>
      <c r="U41" s="8" t="n">
        <v>19.422337669866</v>
      </c>
    </row>
    <row r="42" customFormat="false" ht="15" hidden="false" customHeight="false" outlineLevel="0" collapsed="false">
      <c r="A42" s="7" t="s">
        <v>131</v>
      </c>
      <c r="B42" s="7" t="s">
        <v>132</v>
      </c>
      <c r="C42" s="7" t="s">
        <v>97</v>
      </c>
      <c r="D42" s="7" t="s">
        <v>96</v>
      </c>
      <c r="E42" s="8" t="n">
        <v>-2.35286468331655</v>
      </c>
      <c r="F42" s="8" t="n">
        <v>-3.48120039690542</v>
      </c>
      <c r="G42" s="8" t="n">
        <v>-2.1691537824734</v>
      </c>
      <c r="H42" s="8" t="n">
        <v>-1.501449440317</v>
      </c>
      <c r="I42" s="8" t="n">
        <v>-0.519137991701544</v>
      </c>
      <c r="J42" s="8" t="n">
        <v>0.217020094001342</v>
      </c>
      <c r="K42" s="8" t="n">
        <v>0.446971205922034</v>
      </c>
      <c r="L42" s="8" t="n">
        <v>1.74734921729713</v>
      </c>
      <c r="M42" s="8" t="n">
        <v>1.35301705500193</v>
      </c>
      <c r="N42" s="8" t="n">
        <v>0.451859774047591</v>
      </c>
      <c r="O42" s="8" t="n">
        <v>0.356195094422181</v>
      </c>
      <c r="P42" s="8" t="n">
        <v>1.7852008079583</v>
      </c>
      <c r="Q42" s="8" t="n">
        <v>-2.04624111898244</v>
      </c>
      <c r="R42" s="8" t="n">
        <v>-4.52048439437013</v>
      </c>
      <c r="S42" s="8" t="n">
        <v>-0.125406557037842</v>
      </c>
      <c r="T42" s="8" t="n">
        <v>1.69610102238122</v>
      </c>
      <c r="U42" s="8" t="n">
        <v>0.624791974567142</v>
      </c>
    </row>
    <row r="43" customFormat="false" ht="15" hidden="false" customHeight="false" outlineLevel="0" collapsed="false">
      <c r="A43" s="7" t="s">
        <v>131</v>
      </c>
      <c r="B43" s="7" t="s">
        <v>132</v>
      </c>
      <c r="C43" s="7" t="s">
        <v>102</v>
      </c>
      <c r="D43" s="7" t="s">
        <v>101</v>
      </c>
      <c r="E43" s="8" t="n">
        <v>112955000000</v>
      </c>
      <c r="F43" s="8" t="n">
        <v>132982000000</v>
      </c>
      <c r="G43" s="8" t="n">
        <v>162939000000</v>
      </c>
      <c r="H43" s="8" t="n">
        <v>157041000000</v>
      </c>
      <c r="I43" s="8" t="n">
        <v>162274000000</v>
      </c>
      <c r="J43" s="8" t="n">
        <v>175021000000</v>
      </c>
      <c r="K43" s="8" t="n">
        <v>157878000000</v>
      </c>
      <c r="L43" s="8" t="n">
        <v>162692000000</v>
      </c>
      <c r="M43" s="8" t="n">
        <v>182142000000</v>
      </c>
      <c r="N43" s="8" t="n">
        <v>202238000000</v>
      </c>
      <c r="O43" s="8" t="n">
        <v>199128000000</v>
      </c>
      <c r="P43" s="8" t="n">
        <v>191911000000</v>
      </c>
      <c r="Q43" s="8" t="n">
        <v>226564000000</v>
      </c>
      <c r="R43" s="8" t="n">
        <v>242015000000</v>
      </c>
      <c r="S43" s="8" t="n">
        <v>255549000000</v>
      </c>
      <c r="T43" s="8" t="n">
        <v>263126000000</v>
      </c>
      <c r="U43" s="8" t="n">
        <v>283617000000</v>
      </c>
    </row>
    <row r="44" customFormat="false" ht="15" hidden="false" customHeight="false" outlineLevel="0" collapsed="false">
      <c r="A44" s="7" t="s">
        <v>133</v>
      </c>
      <c r="B44" s="7" t="s">
        <v>134</v>
      </c>
      <c r="C44" s="7" t="s">
        <v>46</v>
      </c>
      <c r="D44" s="7" t="s">
        <v>45</v>
      </c>
      <c r="E44" s="8" t="n">
        <v>89342984697.5246</v>
      </c>
      <c r="F44" s="8" t="n">
        <v>91112160800.7668</v>
      </c>
      <c r="G44" s="8" t="n">
        <v>99705104723.4341</v>
      </c>
      <c r="H44" s="8" t="n">
        <v>94724394278.052</v>
      </c>
      <c r="I44" s="8" t="n">
        <v>99134277850.3418</v>
      </c>
      <c r="J44" s="8" t="n">
        <v>101713075598.862</v>
      </c>
      <c r="K44" s="8" t="n">
        <v>89178548717.3324</v>
      </c>
      <c r="L44" s="8" t="n">
        <v>90347173228.6356</v>
      </c>
      <c r="M44" s="8" t="n">
        <v>95978130734.9766</v>
      </c>
      <c r="N44" s="8" t="n">
        <v>106611673364.837</v>
      </c>
      <c r="O44" s="8" t="n">
        <v>105843498304.094</v>
      </c>
      <c r="P44" s="8" t="n">
        <v>107732602896.441</v>
      </c>
      <c r="Q44" s="8" t="n">
        <v>120511265913.343</v>
      </c>
      <c r="R44" s="8" t="n">
        <v>115792972358.209</v>
      </c>
      <c r="S44" s="8" t="n">
        <v>133578518423.544</v>
      </c>
      <c r="T44" s="8" t="n">
        <v>140934076532.375</v>
      </c>
      <c r="U44" s="8" t="n">
        <v>154530066506.895</v>
      </c>
    </row>
    <row r="45" customFormat="false" ht="15" hidden="false" customHeight="false" outlineLevel="0" collapsed="false">
      <c r="A45" s="7" t="s">
        <v>133</v>
      </c>
      <c r="B45" s="7" t="s">
        <v>134</v>
      </c>
      <c r="C45" s="7" t="s">
        <v>52</v>
      </c>
      <c r="D45" s="7" t="s">
        <v>51</v>
      </c>
      <c r="E45" s="8" t="n">
        <v>-5.50533790972226</v>
      </c>
      <c r="F45" s="8" t="n">
        <v>6.79058159142423</v>
      </c>
      <c r="G45" s="8" t="n">
        <v>2.56242473215553</v>
      </c>
      <c r="H45" s="8" t="n">
        <v>1.56917104702706</v>
      </c>
      <c r="I45" s="8" t="n">
        <v>0.703323545247201</v>
      </c>
      <c r="J45" s="8" t="n">
        <v>2.70795151449488</v>
      </c>
      <c r="K45" s="8" t="n">
        <v>5.17687909722133</v>
      </c>
      <c r="L45" s="8" t="n">
        <v>1.94781841524558</v>
      </c>
      <c r="M45" s="8" t="n">
        <v>2.87473327453695</v>
      </c>
      <c r="N45" s="8" t="n">
        <v>4.06211981896483</v>
      </c>
      <c r="O45" s="8" t="n">
        <v>2.27589910019393</v>
      </c>
      <c r="P45" s="8" t="n">
        <v>-2.58551241733207</v>
      </c>
      <c r="Q45" s="8" t="n">
        <v>5.6558588065555</v>
      </c>
      <c r="R45" s="8" t="n">
        <v>0.544591632137454</v>
      </c>
      <c r="S45" s="8" t="n">
        <v>2.11263633214959</v>
      </c>
      <c r="T45" s="8" t="n">
        <v>1.93867445549446</v>
      </c>
      <c r="U45" s="8" t="n">
        <v>0.807418690144758</v>
      </c>
    </row>
    <row r="46" customFormat="false" ht="15" hidden="false" customHeight="false" outlineLevel="0" collapsed="false">
      <c r="A46" s="7" t="s">
        <v>133</v>
      </c>
      <c r="B46" s="7" t="s">
        <v>134</v>
      </c>
      <c r="C46" s="7" t="s">
        <v>57</v>
      </c>
      <c r="D46" s="7" t="s">
        <v>56</v>
      </c>
      <c r="E46" s="8" t="n">
        <v>16586.7527805228</v>
      </c>
      <c r="F46" s="8" t="n">
        <v>16899.448680529</v>
      </c>
      <c r="G46" s="8" t="n">
        <v>18469.4354316836</v>
      </c>
      <c r="H46" s="8" t="n">
        <v>17516.9691054078</v>
      </c>
      <c r="I46" s="8" t="n">
        <v>18312.7805149823</v>
      </c>
      <c r="J46" s="8" t="n">
        <v>18770.9289896545</v>
      </c>
      <c r="K46" s="8" t="n">
        <v>16442.0760860018</v>
      </c>
      <c r="L46" s="8" t="n">
        <v>16636.0769133073</v>
      </c>
      <c r="M46" s="8" t="n">
        <v>17645.5298716761</v>
      </c>
      <c r="N46" s="8" t="n">
        <v>19573.3717031314</v>
      </c>
      <c r="O46" s="8" t="n">
        <v>19406.0589683582</v>
      </c>
      <c r="P46" s="8" t="n">
        <v>19735.4858280801</v>
      </c>
      <c r="Q46" s="8" t="n">
        <v>22123.3342114545</v>
      </c>
      <c r="R46" s="8" t="n">
        <v>21317.7943982363</v>
      </c>
      <c r="S46" s="8" t="n">
        <v>24614.8734642794</v>
      </c>
      <c r="T46" s="8" t="n">
        <v>25992.6748502048</v>
      </c>
      <c r="U46" s="8" t="n">
        <v>28543.6653439813</v>
      </c>
    </row>
    <row r="47" customFormat="false" ht="15" hidden="false" customHeight="false" outlineLevel="0" collapsed="false">
      <c r="A47" s="7" t="s">
        <v>133</v>
      </c>
      <c r="B47" s="7" t="s">
        <v>134</v>
      </c>
      <c r="C47" s="7" t="s">
        <v>61</v>
      </c>
      <c r="D47" s="7" t="s">
        <v>60</v>
      </c>
      <c r="E47" s="8" t="n">
        <v>60839049329.3261</v>
      </c>
      <c r="F47" s="8" t="n">
        <v>70230239457.3835</v>
      </c>
      <c r="G47" s="8" t="n">
        <v>84383473250.7784</v>
      </c>
      <c r="H47" s="8" t="n">
        <v>86112869512.4262</v>
      </c>
      <c r="I47" s="8" t="n">
        <v>92074947973.9152</v>
      </c>
      <c r="J47" s="8" t="n">
        <v>91989314711.6965</v>
      </c>
      <c r="K47" s="8" t="n">
        <v>80879458866.2308</v>
      </c>
      <c r="L47" s="8" t="n">
        <v>83400999772.7594</v>
      </c>
      <c r="M47" s="8" t="n">
        <v>90173773495.8931</v>
      </c>
      <c r="N47" s="8" t="n">
        <v>101203084757.884</v>
      </c>
      <c r="O47" s="8" t="n">
        <v>97210994149.8744</v>
      </c>
      <c r="P47" s="8" t="n">
        <v>90816799595.6874</v>
      </c>
      <c r="Q47" s="8" t="n">
        <v>109378268572.459</v>
      </c>
      <c r="R47" s="8" t="n">
        <v>114713195239.543</v>
      </c>
      <c r="S47" s="8" t="n">
        <v>122215736734.818</v>
      </c>
      <c r="T47" s="8" t="n">
        <v>120475379841.381</v>
      </c>
      <c r="U47" s="8" t="n">
        <v>131496787422.657</v>
      </c>
    </row>
    <row r="48" customFormat="false" ht="15" hidden="false" customHeight="false" outlineLevel="0" collapsed="false">
      <c r="A48" s="7" t="s">
        <v>133</v>
      </c>
      <c r="B48" s="7" t="s">
        <v>134</v>
      </c>
      <c r="C48" s="7" t="s">
        <v>65</v>
      </c>
      <c r="D48" s="7" t="s">
        <v>64</v>
      </c>
      <c r="E48" s="8" t="n">
        <v>49041545095.3502</v>
      </c>
      <c r="F48" s="8" t="n">
        <v>57887048307.6546</v>
      </c>
      <c r="G48" s="8" t="n">
        <v>63727577722.7751</v>
      </c>
      <c r="H48" s="8" t="n">
        <v>69596992685.0173</v>
      </c>
      <c r="I48" s="8" t="n">
        <v>73342373837.7534</v>
      </c>
      <c r="J48" s="8" t="n">
        <v>75763583670.6877</v>
      </c>
      <c r="K48" s="8" t="n">
        <v>80879458866.2308</v>
      </c>
      <c r="L48" s="8" t="n">
        <v>84844557956.9533</v>
      </c>
      <c r="M48" s="8" t="n">
        <v>87934334955.1299</v>
      </c>
      <c r="N48" s="8" t="n">
        <v>92749992669.2379</v>
      </c>
      <c r="O48" s="8" t="n">
        <v>94008197455.3468</v>
      </c>
      <c r="P48" s="8" t="n">
        <v>88033644593.2565</v>
      </c>
      <c r="Q48" s="8" t="n">
        <v>97418966189.2667</v>
      </c>
      <c r="R48" s="8" t="n">
        <v>100116255598.281</v>
      </c>
      <c r="S48" s="8" t="n">
        <v>99442683922.5943</v>
      </c>
      <c r="T48" s="8" t="n">
        <v>99464963958.8061</v>
      </c>
      <c r="U48" s="8" t="n">
        <v>103426401563.679</v>
      </c>
    </row>
    <row r="49" customFormat="false" ht="15" hidden="false" customHeight="false" outlineLevel="0" collapsed="false">
      <c r="A49" s="7" t="s">
        <v>133</v>
      </c>
      <c r="B49" s="7" t="s">
        <v>134</v>
      </c>
      <c r="C49" s="7" t="s">
        <v>70</v>
      </c>
      <c r="D49" s="7" t="s">
        <v>69</v>
      </c>
      <c r="E49" s="8" t="n">
        <v>61305633339.8742</v>
      </c>
      <c r="F49" s="8" t="n">
        <v>71092464365.9168</v>
      </c>
      <c r="G49" s="8" t="n">
        <v>84295704904.2609</v>
      </c>
      <c r="H49" s="8" t="n">
        <v>81519904185.1137</v>
      </c>
      <c r="I49" s="8" t="n">
        <v>87262069995.5101</v>
      </c>
      <c r="J49" s="8" t="n">
        <v>87794970706.9605</v>
      </c>
      <c r="K49" s="8" t="n">
        <v>79130064372.7859</v>
      </c>
      <c r="L49" s="8" t="n">
        <v>81715126559.1352</v>
      </c>
      <c r="M49" s="8" t="n">
        <v>88964308586.3343</v>
      </c>
      <c r="N49" s="8" t="n">
        <v>100008287099.316</v>
      </c>
      <c r="O49" s="8" t="n">
        <v>97247442000.9646</v>
      </c>
      <c r="P49" s="8" t="n">
        <v>89672126063.3777</v>
      </c>
      <c r="Q49" s="8" t="n">
        <v>109927511883.134</v>
      </c>
      <c r="R49" s="8" t="n">
        <v>121569681272.411</v>
      </c>
      <c r="S49" s="8" t="n">
        <v>120083503114.469</v>
      </c>
      <c r="T49" s="8" t="n">
        <v>120821798957.546</v>
      </c>
      <c r="U49" s="8" t="n">
        <v>131733585558.917</v>
      </c>
    </row>
    <row r="50" customFormat="false" ht="15" hidden="false" customHeight="false" outlineLevel="0" collapsed="false">
      <c r="A50" s="7" t="s">
        <v>133</v>
      </c>
      <c r="B50" s="7" t="s">
        <v>134</v>
      </c>
      <c r="C50" s="7" t="s">
        <v>73</v>
      </c>
      <c r="D50" s="7" t="s">
        <v>72</v>
      </c>
      <c r="E50" s="8" t="n">
        <v>68.0960564898296</v>
      </c>
      <c r="F50" s="8" t="n">
        <v>77.0810820862371</v>
      </c>
      <c r="G50" s="8" t="n">
        <v>84.6330521239054</v>
      </c>
      <c r="H50" s="8" t="n">
        <v>90.908862673381</v>
      </c>
      <c r="I50" s="8" t="n">
        <v>92.8790222418488</v>
      </c>
      <c r="J50" s="8" t="n">
        <v>90.4400089861459</v>
      </c>
      <c r="K50" s="8" t="n">
        <v>90.6938496191421</v>
      </c>
      <c r="L50" s="8" t="n">
        <v>92.3116870095116</v>
      </c>
      <c r="M50" s="8" t="n">
        <v>93.9524168738907</v>
      </c>
      <c r="N50" s="8" t="n">
        <v>94.9268326476368</v>
      </c>
      <c r="O50" s="8" t="n">
        <v>91.8440865121276</v>
      </c>
      <c r="P50" s="8" t="n">
        <v>84.2983434485345</v>
      </c>
      <c r="Q50" s="8" t="n">
        <v>90.7618617591412</v>
      </c>
      <c r="R50" s="8" t="n">
        <v>99.0674933921507</v>
      </c>
      <c r="S50" s="8" t="n">
        <v>91.4935561325084</v>
      </c>
      <c r="T50" s="8" t="n">
        <v>85.4834989561279</v>
      </c>
      <c r="U50" s="8" t="n">
        <v>85.0946294110273</v>
      </c>
    </row>
    <row r="51" customFormat="false" ht="15" hidden="false" customHeight="false" outlineLevel="0" collapsed="false">
      <c r="A51" s="7" t="s">
        <v>133</v>
      </c>
      <c r="B51" s="7" t="s">
        <v>134</v>
      </c>
      <c r="C51" s="7" t="s">
        <v>78</v>
      </c>
      <c r="D51" s="7" t="s">
        <v>77</v>
      </c>
      <c r="E51" s="8" t="n">
        <v>68.6182956025341</v>
      </c>
      <c r="F51" s="8" t="n">
        <v>78.0274155953488</v>
      </c>
      <c r="G51" s="8" t="n">
        <v>84.5450241871604</v>
      </c>
      <c r="H51" s="8" t="n">
        <v>86.0600955080503</v>
      </c>
      <c r="I51" s="8" t="n">
        <v>88.0241142496093</v>
      </c>
      <c r="J51" s="8" t="n">
        <v>86.3163071119859</v>
      </c>
      <c r="K51" s="8" t="n">
        <v>88.7321732758884</v>
      </c>
      <c r="L51" s="8" t="n">
        <v>90.4456925866891</v>
      </c>
      <c r="M51" s="8" t="n">
        <v>92.692270525658</v>
      </c>
      <c r="N51" s="8" t="n">
        <v>93.8061320518596</v>
      </c>
      <c r="O51" s="8" t="n">
        <v>91.8785221191079</v>
      </c>
      <c r="P51" s="8" t="n">
        <v>83.2358298718319</v>
      </c>
      <c r="Q51" s="8" t="n">
        <v>91.2176227259784</v>
      </c>
      <c r="R51" s="8" t="n">
        <v>104.988825139001</v>
      </c>
      <c r="S51" s="8" t="n">
        <v>89.8973162239414</v>
      </c>
      <c r="T51" s="8" t="n">
        <v>85.729301195507</v>
      </c>
      <c r="U51" s="8" t="n">
        <v>85.2478669923037</v>
      </c>
    </row>
    <row r="52" customFormat="false" ht="15" hidden="false" customHeight="false" outlineLevel="0" collapsed="false">
      <c r="A52" s="7" t="s">
        <v>133</v>
      </c>
      <c r="B52" s="7" t="s">
        <v>134</v>
      </c>
      <c r="C52" s="7" t="s">
        <v>82</v>
      </c>
      <c r="D52" s="7" t="s">
        <v>81</v>
      </c>
      <c r="E52" s="8" t="n">
        <v>136.714352092364</v>
      </c>
      <c r="F52" s="8" t="n">
        <v>155.108497681586</v>
      </c>
      <c r="G52" s="8" t="n">
        <v>169.178076311066</v>
      </c>
      <c r="H52" s="8" t="n">
        <v>176.968958181431</v>
      </c>
      <c r="I52" s="8" t="n">
        <v>180.903136491458</v>
      </c>
      <c r="J52" s="8" t="n">
        <v>176.756316098132</v>
      </c>
      <c r="K52" s="8" t="n">
        <v>179.42602289503</v>
      </c>
      <c r="L52" s="8" t="n">
        <v>182.757379596201</v>
      </c>
      <c r="M52" s="8" t="n">
        <v>186.644687399549</v>
      </c>
      <c r="N52" s="8" t="n">
        <v>188.732964699496</v>
      </c>
      <c r="O52" s="8" t="n">
        <v>183.722608631236</v>
      </c>
      <c r="P52" s="8" t="n">
        <v>167.534173320366</v>
      </c>
      <c r="Q52" s="8" t="n">
        <v>181.97948448512</v>
      </c>
      <c r="R52" s="8" t="n">
        <v>204.056318531151</v>
      </c>
      <c r="S52" s="8" t="n">
        <v>181.39087235645</v>
      </c>
      <c r="T52" s="8" t="n">
        <v>171.212800151635</v>
      </c>
      <c r="U52" s="8" t="n">
        <v>170.342496403331</v>
      </c>
    </row>
    <row r="53" customFormat="false" ht="15" hidden="false" customHeight="false" outlineLevel="0" collapsed="false">
      <c r="A53" s="7" t="s">
        <v>133</v>
      </c>
      <c r="B53" s="7" t="s">
        <v>134</v>
      </c>
      <c r="C53" s="7" t="s">
        <v>86</v>
      </c>
      <c r="D53" s="7" t="s">
        <v>85</v>
      </c>
      <c r="E53" s="8" t="n">
        <v>1521083444.32739</v>
      </c>
      <c r="F53" s="8" t="n">
        <v>2115832960.23964</v>
      </c>
      <c r="G53" s="8" t="n">
        <v>5431592591.91496</v>
      </c>
      <c r="H53" s="8" t="n">
        <v>1776566141.06018</v>
      </c>
      <c r="I53" s="8" t="n">
        <v>1003901887.84675</v>
      </c>
      <c r="J53" s="8" t="n">
        <v>-362915353.373398</v>
      </c>
      <c r="K53" s="8" t="n">
        <v>1520379416.31372</v>
      </c>
      <c r="L53" s="8" t="n">
        <v>4768310586.34163</v>
      </c>
      <c r="M53" s="8" t="n">
        <v>4222901967.24692</v>
      </c>
      <c r="N53" s="8" t="n">
        <v>2252337807.34816</v>
      </c>
      <c r="O53" s="8" t="n">
        <v>2279820543.45752</v>
      </c>
      <c r="P53" s="8" t="n">
        <v>-1141695531.7079</v>
      </c>
      <c r="Q53" s="8" t="n">
        <v>2719785158.15888</v>
      </c>
      <c r="R53" s="8" t="n">
        <v>4827136369.08142</v>
      </c>
      <c r="S53" s="8" t="n">
        <v>526111240.912454</v>
      </c>
      <c r="T53" s="8" t="n">
        <v>5010258031.63869</v>
      </c>
      <c r="U53" s="8" t="n">
        <v>2053760336.65341</v>
      </c>
    </row>
    <row r="54" customFormat="false" ht="15" hidden="false" customHeight="false" outlineLevel="0" collapsed="false">
      <c r="A54" s="7" t="s">
        <v>133</v>
      </c>
      <c r="B54" s="7" t="s">
        <v>134</v>
      </c>
      <c r="C54" s="7" t="s">
        <v>89</v>
      </c>
      <c r="D54" s="7" t="s">
        <v>88</v>
      </c>
      <c r="E54" s="8" t="n">
        <v>1.7025214117002</v>
      </c>
      <c r="F54" s="8" t="n">
        <v>2.32222893370545</v>
      </c>
      <c r="G54" s="8" t="n">
        <v>5.44765747649664</v>
      </c>
      <c r="H54" s="8" t="n">
        <v>1.87551069035637</v>
      </c>
      <c r="I54" s="8" t="n">
        <v>1.01266878582834</v>
      </c>
      <c r="J54" s="8" t="n">
        <v>-0.356803047431846</v>
      </c>
      <c r="K54" s="8" t="n">
        <v>1.70487122540291</v>
      </c>
      <c r="L54" s="8" t="n">
        <v>5.27776400294759</v>
      </c>
      <c r="M54" s="8" t="n">
        <v>4.39985852496708</v>
      </c>
      <c r="N54" s="8" t="n">
        <v>2.11265589992234</v>
      </c>
      <c r="O54" s="8" t="n">
        <v>2.15395426264868</v>
      </c>
      <c r="P54" s="8" t="n">
        <v>-1.0597493247289</v>
      </c>
      <c r="Q54" s="8" t="n">
        <v>2.25687211693106</v>
      </c>
      <c r="R54" s="8" t="n">
        <v>4.1687645379277</v>
      </c>
      <c r="S54" s="8" t="n">
        <v>0.393859167717588</v>
      </c>
      <c r="T54" s="8" t="n">
        <v>3.55503662060591</v>
      </c>
      <c r="U54" s="8" t="n">
        <v>1.32903607891851</v>
      </c>
    </row>
    <row r="55" customFormat="false" ht="15" hidden="false" customHeight="false" outlineLevel="0" collapsed="false">
      <c r="A55" s="7" t="s">
        <v>133</v>
      </c>
      <c r="B55" s="7" t="s">
        <v>134</v>
      </c>
      <c r="C55" s="7" t="s">
        <v>93</v>
      </c>
      <c r="D55" s="7" t="s">
        <v>92</v>
      </c>
      <c r="E55" s="8" t="n">
        <v>14.6849665040937</v>
      </c>
      <c r="F55" s="8" t="n">
        <v>17.1362690628545</v>
      </c>
      <c r="G55" s="8" t="n">
        <v>17.408841685454</v>
      </c>
      <c r="H55" s="8" t="n">
        <v>17.2745943049528</v>
      </c>
      <c r="I55" s="8" t="n">
        <v>16.6679619490037</v>
      </c>
      <c r="J55" s="8" t="n">
        <v>18.5341754362134</v>
      </c>
      <c r="K55" s="8" t="n">
        <v>18.8287638047366</v>
      </c>
      <c r="L55" s="8" t="n">
        <v>17.7674522396181</v>
      </c>
      <c r="M55" s="8" t="n">
        <v>17.1198654148987</v>
      </c>
      <c r="N55" s="8" t="n">
        <v>18.107047254531</v>
      </c>
      <c r="O55" s="8" t="n">
        <v>18.7020217269875</v>
      </c>
      <c r="P55" s="8" t="n">
        <v>17.5406369148503</v>
      </c>
      <c r="Q55" s="8" t="n">
        <v>16.6273511795662</v>
      </c>
      <c r="R55" s="8" t="n">
        <v>17.3506431084601</v>
      </c>
      <c r="S55" s="8" t="n">
        <v>16.8469462095189</v>
      </c>
      <c r="T55" s="8" t="n">
        <v>16.327904870625</v>
      </c>
      <c r="U55" s="8" t="n">
        <v>16.194388078966</v>
      </c>
    </row>
    <row r="56" customFormat="false" ht="15" hidden="false" customHeight="false" outlineLevel="0" collapsed="false">
      <c r="A56" s="7" t="s">
        <v>133</v>
      </c>
      <c r="B56" s="7" t="s">
        <v>134</v>
      </c>
      <c r="C56" s="7" t="s">
        <v>97</v>
      </c>
      <c r="D56" s="7" t="s">
        <v>96</v>
      </c>
      <c r="E56" s="8" t="n">
        <v>-3.38105508330994</v>
      </c>
      <c r="F56" s="8" t="n">
        <v>-4.6203044518302</v>
      </c>
      <c r="G56" s="8" t="n">
        <v>-4.92376770602967</v>
      </c>
      <c r="H56" s="8" t="n">
        <v>0.938943103720464</v>
      </c>
      <c r="I56" s="8" t="n">
        <v>2.91051144201471</v>
      </c>
      <c r="J56" s="8" t="n">
        <v>1.77620820872981</v>
      </c>
      <c r="K56" s="8" t="n">
        <v>-2.05103816352739</v>
      </c>
      <c r="L56" s="8" t="n">
        <v>-1.41742583384371</v>
      </c>
      <c r="M56" s="8" t="n">
        <v>-1.71807692688753</v>
      </c>
      <c r="N56" s="8" t="n">
        <v>-1.59262375291933</v>
      </c>
      <c r="O56" s="8" t="n">
        <v>-3.51259174873162</v>
      </c>
      <c r="P56" s="8" t="n">
        <v>-0.437071238574067</v>
      </c>
      <c r="Q56" s="8" t="n">
        <v>-4.79283646505897</v>
      </c>
      <c r="R56" s="8" t="n">
        <v>-9.60893340616344</v>
      </c>
      <c r="S56" s="8" t="n">
        <v>-3.01849841620298</v>
      </c>
      <c r="T56" s="8" t="n">
        <v>-4.61427189349135</v>
      </c>
      <c r="U56" s="8" t="n">
        <v>-3.62646052924369</v>
      </c>
    </row>
    <row r="57" customFormat="false" ht="15" hidden="false" customHeight="false" outlineLevel="0" collapsed="false">
      <c r="A57" s="7" t="s">
        <v>133</v>
      </c>
      <c r="B57" s="7" t="s">
        <v>134</v>
      </c>
      <c r="C57" s="7" t="s">
        <v>102</v>
      </c>
      <c r="D57" s="7" t="s">
        <v>101</v>
      </c>
      <c r="E57" s="8" t="n">
        <v>56245000000</v>
      </c>
      <c r="F57" s="8" t="n">
        <v>65957000000</v>
      </c>
      <c r="G57" s="8" t="n">
        <v>79736000000</v>
      </c>
      <c r="H57" s="8" t="n">
        <v>80721000000</v>
      </c>
      <c r="I57" s="8" t="n">
        <v>85701000000</v>
      </c>
      <c r="J57" s="8" t="n">
        <v>86227000000</v>
      </c>
      <c r="K57" s="8" t="n">
        <v>75146000000</v>
      </c>
      <c r="L57" s="8" t="n">
        <v>77060000000</v>
      </c>
      <c r="M57" s="8" t="n">
        <v>83414000000</v>
      </c>
      <c r="N57" s="8" t="n">
        <v>93425000000</v>
      </c>
      <c r="O57" s="8" t="n">
        <v>89509000000</v>
      </c>
      <c r="P57" s="8" t="n">
        <v>86640000000</v>
      </c>
      <c r="Q57" s="8" t="n">
        <v>103891000000</v>
      </c>
      <c r="R57" s="8" t="n">
        <v>108386000000</v>
      </c>
      <c r="S57" s="8" t="n">
        <v>117494000000</v>
      </c>
      <c r="T57" s="8" t="n">
        <v>115794000000</v>
      </c>
      <c r="U57" s="8" t="n">
        <v>125443000000</v>
      </c>
    </row>
    <row r="61" customFormat="false" ht="15" hidden="false" customHeight="false" outlineLevel="0" collapsed="false">
      <c r="A61" s="7" t="s">
        <v>135</v>
      </c>
    </row>
    <row r="62" customFormat="false" ht="15" hidden="false" customHeight="false" outlineLevel="0" collapsed="false">
      <c r="A62" s="7"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17" min="4" style="0" width="22"/>
  </cols>
  <sheetData>
    <row r="1" customFormat="false" ht="45" hidden="false" customHeight="true" outlineLevel="0" collapsed="false">
      <c r="A1" s="6" t="s">
        <v>137</v>
      </c>
      <c r="B1" s="6" t="s">
        <v>138</v>
      </c>
      <c r="C1" s="6" t="s">
        <v>139</v>
      </c>
      <c r="D1" s="6" t="s">
        <v>44</v>
      </c>
      <c r="E1" s="6" t="s">
        <v>50</v>
      </c>
      <c r="F1" s="6" t="s">
        <v>55</v>
      </c>
      <c r="G1" s="6" t="s">
        <v>59</v>
      </c>
      <c r="H1" s="6" t="s">
        <v>63</v>
      </c>
      <c r="I1" s="6" t="s">
        <v>68</v>
      </c>
      <c r="J1" s="6" t="s">
        <v>71</v>
      </c>
      <c r="K1" s="6" t="s">
        <v>76</v>
      </c>
      <c r="L1" s="6" t="s">
        <v>80</v>
      </c>
      <c r="M1" s="6" t="s">
        <v>84</v>
      </c>
      <c r="N1" s="6" t="s">
        <v>87</v>
      </c>
      <c r="O1" s="6" t="s">
        <v>91</v>
      </c>
      <c r="P1" s="6" t="s">
        <v>95</v>
      </c>
      <c r="Q1" s="6" t="s">
        <v>100</v>
      </c>
    </row>
    <row r="2" customFormat="false" ht="15" hidden="false" customHeight="false" outlineLevel="0" collapsed="false">
      <c r="A2" s="8" t="s">
        <v>127</v>
      </c>
      <c r="B2" s="8" t="s">
        <v>128</v>
      </c>
      <c r="C2" s="8" t="n">
        <v>2010</v>
      </c>
      <c r="D2" s="10" t="n">
        <f aca="false">IF(COUNTIFS(02_RAW_DATA!$B$2:$B$57,$B2,02_RAW_DATA!$D$2:$D$57,01_README!$C$27,INDEX(02_RAW_DATA!$E$2:$U$57,0,MATCH($C2&amp;" [YR"&amp;$C2&amp;"]",02_RAW_DATA!$E$1:$U$1,0)),"&gt;-1E+300")=0,"",SUMIFS(INDEX(02_RAW_DATA!$E$2:$U$57,0,MATCH($C2&amp;" [YR"&amp;$C2&amp;"]",02_RAW_DATA!$E$1:$U$1,0)),02_RAW_DATA!$B$2:$B$57,$B2,02_RAW_DATA!$D$2:$D$57,01_README!$C$27))</f>
        <v>131898737241.166</v>
      </c>
      <c r="E2" s="11" t="n">
        <f aca="false">IF(COUNTIFS(02_RAW_DATA!$B$2:$B$57,$B2,02_RAW_DATA!$D$2:$D$57,01_README!$C$28,INDEX(02_RAW_DATA!$E$2:$U$57,0,MATCH($C2&amp;" [YR"&amp;$C2&amp;"]",02_RAW_DATA!$E$1:$U$1,0)),"&gt;-1E+300")=0,"",SUMIFS(INDEX(02_RAW_DATA!$E$2:$U$57,0,MATCH($C2&amp;" [YR"&amp;$C2&amp;"]",02_RAW_DATA!$E$1:$U$1,0)),02_RAW_DATA!$B$2:$B$57,$B2,02_RAW_DATA!$D$2:$D$57,01_README!$C$28))</f>
        <v>1.06795068152046</v>
      </c>
      <c r="F2" s="10" t="n">
        <f aca="false">IF(COUNTIFS(02_RAW_DATA!$B$2:$B$57,$B2,02_RAW_DATA!$D$2:$D$57,01_README!$C$29,INDEX(02_RAW_DATA!$E$2:$U$57,0,MATCH($C2&amp;" [YR"&amp;$C2&amp;"]",02_RAW_DATA!$E$1:$U$1,0)),"&gt;-1E+300")=0,"",SUMIFS(INDEX(02_RAW_DATA!$E$2:$U$57,0,MATCH($C2&amp;" [YR"&amp;$C2&amp;"]",02_RAW_DATA!$E$1:$U$1,0)),02_RAW_DATA!$B$2:$B$57,$B2,02_RAW_DATA!$D$2:$D$57,01_README!$C$29))</f>
        <v>13189.8433874768</v>
      </c>
      <c r="G2" s="10" t="n">
        <f aca="false">IF(COUNTIFS(02_RAW_DATA!$B$2:$B$57,$B2,02_RAW_DATA!$D$2:$D$57,01_README!$C$30,INDEX(02_RAW_DATA!$E$2:$U$57,0,MATCH($C2&amp;" [YR"&amp;$C2&amp;"]",02_RAW_DATA!$E$1:$U$1,0)),"&gt;-1E+300")=0,"",SUMIFS(INDEX(02_RAW_DATA!$E$2:$U$57,0,MATCH($C2&amp;" [YR"&amp;$C2&amp;"]",02_RAW_DATA!$E$1:$U$1,0)),02_RAW_DATA!$B$2:$B$57,$B2,02_RAW_DATA!$D$2:$D$57,01_README!$C$30))</f>
        <v>107172345140.723</v>
      </c>
      <c r="H2" s="10" t="n">
        <f aca="false">IF(COUNTIFS(02_RAW_DATA!$B$2:$B$57,$B2,02_RAW_DATA!$D$2:$D$57,01_README!$C$31,INDEX(02_RAW_DATA!$E$2:$U$57,0,MATCH($C2&amp;" [YR"&amp;$C2&amp;"]",02_RAW_DATA!$E$1:$U$1,0)),"&gt;-1E+300")=0,"",SUMIFS(INDEX(02_RAW_DATA!$E$2:$U$57,0,MATCH($C2&amp;" [YR"&amp;$C2&amp;"]",02_RAW_DATA!$E$1:$U$1,0)),02_RAW_DATA!$B$2:$B$57,$B2,02_RAW_DATA!$D$2:$D$57,01_README!$C$31))</f>
        <v>85792642173.8137</v>
      </c>
      <c r="I2" s="10" t="n">
        <f aca="false">IF(COUNTIFS(02_RAW_DATA!$B$2:$B$57,$B2,02_RAW_DATA!$D$2:$D$57,01_README!$C$32,INDEX(02_RAW_DATA!$E$2:$U$57,0,MATCH($C2&amp;" [YR"&amp;$C2&amp;"]",02_RAW_DATA!$E$1:$U$1,0)),"&gt;-1E+300")=0,"",SUMIFS(INDEX(02_RAW_DATA!$E$2:$U$57,0,MATCH($C2&amp;" [YR"&amp;$C2&amp;"]",02_RAW_DATA!$E$1:$U$1,0)),02_RAW_DATA!$B$2:$B$57,$B2,02_RAW_DATA!$D$2:$D$57,01_README!$C$32))</f>
        <v>101015250087.163</v>
      </c>
      <c r="J2" s="11" t="n">
        <f aca="false">IF(COUNTIFS(02_RAW_DATA!$B$2:$B$57,$B2,02_RAW_DATA!$D$2:$D$57,01_README!$C$33,INDEX(02_RAW_DATA!$E$2:$U$57,0,MATCH($C2&amp;" [YR"&amp;$C2&amp;"]",02_RAW_DATA!$E$1:$U$1,0)),"&gt;-1E+300")=0,"",SUMIFS(INDEX(02_RAW_DATA!$E$2:$U$57,0,MATCH($C2&amp;" [YR"&amp;$C2&amp;"]",02_RAW_DATA!$E$1:$U$1,0)),02_RAW_DATA!$B$2:$B$57,$B2,02_RAW_DATA!$D$2:$D$57,01_README!$C$33))</f>
        <v>81.2535035455015</v>
      </c>
      <c r="K2" s="11" t="n">
        <f aca="false">IF(COUNTIFS(02_RAW_DATA!$B$2:$B$57,$B2,02_RAW_DATA!$D$2:$D$57,01_README!$C$34,INDEX(02_RAW_DATA!$E$2:$U$57,0,MATCH($C2&amp;" [YR"&amp;$C2&amp;"]",02_RAW_DATA!$E$1:$U$1,0)),"&gt;-1E+300")=0,"",SUMIFS(INDEX(02_RAW_DATA!$E$2:$U$57,0,MATCH($C2&amp;" [YR"&amp;$C2&amp;"]",02_RAW_DATA!$E$1:$U$1,0)),02_RAW_DATA!$B$2:$B$57,$B2,02_RAW_DATA!$D$2:$D$57,01_README!$C$34))</f>
        <v>76.5854565403946</v>
      </c>
      <c r="L2" s="11" t="n">
        <f aca="false">IF(COUNTIFS(02_RAW_DATA!$B$2:$B$57,$B2,02_RAW_DATA!$D$2:$D$57,01_README!$C$35,INDEX(02_RAW_DATA!$E$2:$U$57,0,MATCH($C2&amp;" [YR"&amp;$C2&amp;"]",02_RAW_DATA!$E$1:$U$1,0)),"&gt;-1E+300")=0,"",SUMIFS(INDEX(02_RAW_DATA!$E$2:$U$57,0,MATCH($C2&amp;" [YR"&amp;$C2&amp;"]",02_RAW_DATA!$E$1:$U$1,0)),02_RAW_DATA!$B$2:$B$57,$B2,02_RAW_DATA!$D$2:$D$57,01_README!$C$35))</f>
        <v>157.838960085896</v>
      </c>
      <c r="M2" s="10" t="n">
        <f aca="false">IF(COUNTIFS(02_RAW_DATA!$B$2:$B$57,$B2,02_RAW_DATA!$D$2:$D$57,01_README!$C$36,INDEX(02_RAW_DATA!$E$2:$U$57,0,MATCH($C2&amp;" [YR"&amp;$C2&amp;"]",02_RAW_DATA!$E$1:$U$1,0)),"&gt;-1E+300")=0,"",SUMIFS(INDEX(02_RAW_DATA!$E$2:$U$57,0,MATCH($C2&amp;" [YR"&amp;$C2&amp;"]",02_RAW_DATA!$E$1:$U$1,0)),02_RAW_DATA!$B$2:$B$57,$B2,02_RAW_DATA!$D$2:$D$57,01_README!$C$36))</f>
        <v>-20952692164.6003</v>
      </c>
      <c r="N2" s="11" t="n">
        <f aca="false">IF(COUNTIFS(02_RAW_DATA!$B$2:$B$57,$B2,02_RAW_DATA!$D$2:$D$57,01_README!$C$37,INDEX(02_RAW_DATA!$E$2:$U$57,0,MATCH($C2&amp;" [YR"&amp;$C2&amp;"]",02_RAW_DATA!$E$1:$U$1,0)),"&gt;-1E+300")=0,"",SUMIFS(INDEX(02_RAW_DATA!$E$2:$U$57,0,MATCH($C2&amp;" [YR"&amp;$C2&amp;"]",02_RAW_DATA!$E$1:$U$1,0)),02_RAW_DATA!$B$2:$B$57,$B2,02_RAW_DATA!$D$2:$D$57,01_README!$C$37))</f>
        <v>-15.8854380283338</v>
      </c>
      <c r="O2" s="11" t="n">
        <f aca="false">IF(COUNTIFS(02_RAW_DATA!$B$2:$B$57,$B2,02_RAW_DATA!$D$2:$D$57,01_README!$C$38,INDEX(02_RAW_DATA!$E$2:$U$57,0,MATCH($C2&amp;" [YR"&amp;$C2&amp;"]",02_RAW_DATA!$E$1:$U$1,0)),"&gt;-1E+300")=0,"",SUMIFS(INDEX(02_RAW_DATA!$E$2:$U$57,0,MATCH($C2&amp;" [YR"&amp;$C2&amp;"]",02_RAW_DATA!$E$1:$U$1,0)),02_RAW_DATA!$B$2:$B$57,$B2,02_RAW_DATA!$D$2:$D$57,01_README!$C$38))</f>
        <v>18.1353669170801</v>
      </c>
      <c r="P2" s="11" t="n">
        <f aca="false">IF(COUNTIFS(02_RAW_DATA!$B$2:$B$57,$B2,02_RAW_DATA!$D$2:$D$57,01_README!$C$39,INDEX(02_RAW_DATA!$E$2:$U$57,0,MATCH($C2&amp;" [YR"&amp;$C2&amp;"]",02_RAW_DATA!$E$1:$U$1,0)),"&gt;-1E+300")=0,"",SUMIFS(INDEX(02_RAW_DATA!$E$2:$U$57,0,MATCH($C2&amp;" [YR"&amp;$C2&amp;"]",02_RAW_DATA!$E$1:$U$1,0)),02_RAW_DATA!$B$2:$B$57,$B2,02_RAW_DATA!$D$2:$D$57,01_README!$C$39))</f>
        <v>-0.188218208390541</v>
      </c>
      <c r="Q2" s="10" t="n">
        <f aca="false">IF(COUNTIFS(02_RAW_DATA!$B$2:$B$57,$B2,02_RAW_DATA!$D$2:$D$57,01_README!$C$40,INDEX(02_RAW_DATA!$E$2:$U$57,0,MATCH($C2&amp;" [YR"&amp;$C2&amp;"]",02_RAW_DATA!$E$1:$U$1,0)),"&gt;-1E+300")=0,"",SUMIFS(INDEX(02_RAW_DATA!$E$2:$U$57,0,MATCH($C2&amp;" [YR"&amp;$C2&amp;"]",02_RAW_DATA!$E$1:$U$1,0)),02_RAW_DATA!$B$2:$B$57,$B2,02_RAW_DATA!$D$2:$D$57,01_README!$C$40))</f>
        <v>95483000000</v>
      </c>
    </row>
    <row r="3" customFormat="false" ht="15" hidden="false" customHeight="false" outlineLevel="0" collapsed="false">
      <c r="A3" s="8" t="s">
        <v>127</v>
      </c>
      <c r="B3" s="8" t="s">
        <v>128</v>
      </c>
      <c r="C3" s="8" t="n">
        <v>2011</v>
      </c>
      <c r="D3" s="10" t="n">
        <f aca="false">IF(COUNTIFS(02_RAW_DATA!$B$2:$B$57,$B3,02_RAW_DATA!$D$2:$D$57,01_README!$C$27,INDEX(02_RAW_DATA!$E$2:$U$57,0,MATCH($C3&amp;" [YR"&amp;$C3&amp;"]",02_RAW_DATA!$E$1:$U$1,0)),"&gt;-1E+300")=0,"",SUMIFS(INDEX(02_RAW_DATA!$E$2:$U$57,0,MATCH($C3&amp;" [YR"&amp;$C3&amp;"]",02_RAW_DATA!$E$1:$U$1,0)),02_RAW_DATA!$B$2:$B$57,$B3,02_RAW_DATA!$D$2:$D$57,01_README!$C$27))</f>
        <v>141712804953.868</v>
      </c>
      <c r="E3" s="11" t="n">
        <f aca="false">IF(COUNTIFS(02_RAW_DATA!$B$2:$B$57,$B3,02_RAW_DATA!$D$2:$D$57,01_README!$C$28,INDEX(02_RAW_DATA!$E$2:$U$57,0,MATCH($C3&amp;" [YR"&amp;$C3&amp;"]",02_RAW_DATA!$E$1:$U$1,0)),"&gt;-1E+300")=0,"",SUMIFS(INDEX(02_RAW_DATA!$E$2:$U$57,0,MATCH($C3&amp;" [YR"&amp;$C3&amp;"]",02_RAW_DATA!$E$1:$U$1,0)),02_RAW_DATA!$B$2:$B$57,$B3,02_RAW_DATA!$D$2:$D$57,01_README!$C$28))</f>
        <v>1.91670916599742</v>
      </c>
      <c r="F3" s="10" t="n">
        <f aca="false">IF(COUNTIFS(02_RAW_DATA!$B$2:$B$57,$B3,02_RAW_DATA!$D$2:$D$57,01_README!$C$29,INDEX(02_RAW_DATA!$E$2:$U$57,0,MATCH($C3&amp;" [YR"&amp;$C3&amp;"]",02_RAW_DATA!$E$1:$U$1,0)),"&gt;-1E+300")=0,"",SUMIFS(INDEX(02_RAW_DATA!$E$2:$U$57,0,MATCH($C3&amp;" [YR"&amp;$C3&amp;"]",02_RAW_DATA!$E$1:$U$1,0)),02_RAW_DATA!$B$2:$B$57,$B3,02_RAW_DATA!$D$2:$D$57,01_README!$C$29))</f>
        <v>14211.460557822</v>
      </c>
      <c r="G3" s="10" t="n">
        <f aca="false">IF(COUNTIFS(02_RAW_DATA!$B$2:$B$57,$B3,02_RAW_DATA!$D$2:$D$57,01_README!$C$30,INDEX(02_RAW_DATA!$E$2:$U$57,0,MATCH($C3&amp;" [YR"&amp;$C3&amp;"]",02_RAW_DATA!$E$1:$U$1,0)),"&gt;-1E+300")=0,"",SUMIFS(INDEX(02_RAW_DATA!$E$2:$U$57,0,MATCH($C3&amp;" [YR"&amp;$C3&amp;"]",02_RAW_DATA!$E$1:$U$1,0)),02_RAW_DATA!$B$2:$B$57,$B3,02_RAW_DATA!$D$2:$D$57,01_README!$C$30))</f>
        <v>122146730994.007</v>
      </c>
      <c r="H3" s="10" t="n">
        <f aca="false">IF(COUNTIFS(02_RAW_DATA!$B$2:$B$57,$B3,02_RAW_DATA!$D$2:$D$57,01_README!$C$31,INDEX(02_RAW_DATA!$E$2:$U$57,0,MATCH($C3&amp;" [YR"&amp;$C3&amp;"]",02_RAW_DATA!$E$1:$U$1,0)),"&gt;-1E+300")=0,"",SUMIFS(INDEX(02_RAW_DATA!$E$2:$U$57,0,MATCH($C3&amp;" [YR"&amp;$C3&amp;"]",02_RAW_DATA!$E$1:$U$1,0)),02_RAW_DATA!$B$2:$B$57,$B3,02_RAW_DATA!$D$2:$D$57,01_README!$C$31))</f>
        <v>91295343667.6201</v>
      </c>
      <c r="I3" s="10" t="n">
        <f aca="false">IF(COUNTIFS(02_RAW_DATA!$B$2:$B$57,$B3,02_RAW_DATA!$D$2:$D$57,01_README!$C$32,INDEX(02_RAW_DATA!$E$2:$U$57,0,MATCH($C3&amp;" [YR"&amp;$C3&amp;"]",02_RAW_DATA!$E$1:$U$1,0)),"&gt;-1E+300")=0,"",SUMIFS(INDEX(02_RAW_DATA!$E$2:$U$57,0,MATCH($C3&amp;" [YR"&amp;$C3&amp;"]",02_RAW_DATA!$E$1:$U$1,0)),02_RAW_DATA!$B$2:$B$57,$B3,02_RAW_DATA!$D$2:$D$57,01_README!$C$32))</f>
        <v>114165531819.651</v>
      </c>
      <c r="J3" s="11" t="n">
        <f aca="false">IF(COUNTIFS(02_RAW_DATA!$B$2:$B$57,$B3,02_RAW_DATA!$D$2:$D$57,01_README!$C$33,INDEX(02_RAW_DATA!$E$2:$U$57,0,MATCH($C3&amp;" [YR"&amp;$C3&amp;"]",02_RAW_DATA!$E$1:$U$1,0)),"&gt;-1E+300")=0,"",SUMIFS(INDEX(02_RAW_DATA!$E$2:$U$57,0,MATCH($C3&amp;" [YR"&amp;$C3&amp;"]",02_RAW_DATA!$E$1:$U$1,0)),02_RAW_DATA!$B$2:$B$57,$B3,02_RAW_DATA!$D$2:$D$57,01_README!$C$33))</f>
        <v>86.1931503181868</v>
      </c>
      <c r="K3" s="11" t="n">
        <f aca="false">IF(COUNTIFS(02_RAW_DATA!$B$2:$B$57,$B3,02_RAW_DATA!$D$2:$D$57,01_README!$C$34,INDEX(02_RAW_DATA!$E$2:$U$57,0,MATCH($C3&amp;" [YR"&amp;$C3&amp;"]",02_RAW_DATA!$E$1:$U$1,0)),"&gt;-1E+300")=0,"",SUMIFS(INDEX(02_RAW_DATA!$E$2:$U$57,0,MATCH($C3&amp;" [YR"&amp;$C3&amp;"]",02_RAW_DATA!$E$1:$U$1,0)),02_RAW_DATA!$B$2:$B$57,$B3,02_RAW_DATA!$D$2:$D$57,01_README!$C$34))</f>
        <v>80.5611968917104</v>
      </c>
      <c r="L3" s="11" t="n">
        <f aca="false">IF(COUNTIFS(02_RAW_DATA!$B$2:$B$57,$B3,02_RAW_DATA!$D$2:$D$57,01_README!$C$35,INDEX(02_RAW_DATA!$E$2:$U$57,0,MATCH($C3&amp;" [YR"&amp;$C3&amp;"]",02_RAW_DATA!$E$1:$U$1,0)),"&gt;-1E+300")=0,"",SUMIFS(INDEX(02_RAW_DATA!$E$2:$U$57,0,MATCH($C3&amp;" [YR"&amp;$C3&amp;"]",02_RAW_DATA!$E$1:$U$1,0)),02_RAW_DATA!$B$2:$B$57,$B3,02_RAW_DATA!$D$2:$D$57,01_README!$C$35))</f>
        <v>166.754347209897</v>
      </c>
      <c r="M3" s="10" t="n">
        <f aca="false">IF(COUNTIFS(02_RAW_DATA!$B$2:$B$57,$B3,02_RAW_DATA!$D$2:$D$57,01_README!$C$36,INDEX(02_RAW_DATA!$E$2:$U$57,0,MATCH($C3&amp;" [YR"&amp;$C3&amp;"]",02_RAW_DATA!$E$1:$U$1,0)),"&gt;-1E+300")=0,"",SUMIFS(INDEX(02_RAW_DATA!$E$2:$U$57,0,MATCH($C3&amp;" [YR"&amp;$C3&amp;"]",02_RAW_DATA!$E$1:$U$1,0)),02_RAW_DATA!$B$2:$B$57,$B3,02_RAW_DATA!$D$2:$D$57,01_README!$C$36))</f>
        <v>10563869736.8555</v>
      </c>
      <c r="N3" s="11" t="n">
        <f aca="false">IF(COUNTIFS(02_RAW_DATA!$B$2:$B$57,$B3,02_RAW_DATA!$D$2:$D$57,01_README!$C$37,INDEX(02_RAW_DATA!$E$2:$U$57,0,MATCH($C3&amp;" [YR"&amp;$C3&amp;"]",02_RAW_DATA!$E$1:$U$1,0)),"&gt;-1E+300")=0,"",SUMIFS(INDEX(02_RAW_DATA!$E$2:$U$57,0,MATCH($C3&amp;" [YR"&amp;$C3&amp;"]",02_RAW_DATA!$E$1:$U$1,0)),02_RAW_DATA!$B$2:$B$57,$B3,02_RAW_DATA!$D$2:$D$57,01_README!$C$37))</f>
        <v>7.45442145492381</v>
      </c>
      <c r="O3" s="11" t="n">
        <f aca="false">IF(COUNTIFS(02_RAW_DATA!$B$2:$B$57,$B3,02_RAW_DATA!$D$2:$D$57,01_README!$C$38,INDEX(02_RAW_DATA!$E$2:$U$57,0,MATCH($C3&amp;" [YR"&amp;$C3&amp;"]",02_RAW_DATA!$E$1:$U$1,0)),"&gt;-1E+300")=0,"",SUMIFS(INDEX(02_RAW_DATA!$E$2:$U$57,0,MATCH($C3&amp;" [YR"&amp;$C3&amp;"]",02_RAW_DATA!$E$1:$U$1,0)),02_RAW_DATA!$B$2:$B$57,$B3,02_RAW_DATA!$D$2:$D$57,01_README!$C$38))</f>
        <v>18.4594533468052</v>
      </c>
      <c r="P3" s="11" t="n">
        <f aca="false">IF(COUNTIFS(02_RAW_DATA!$B$2:$B$57,$B3,02_RAW_DATA!$D$2:$D$57,01_README!$C$39,INDEX(02_RAW_DATA!$E$2:$U$57,0,MATCH($C3&amp;" [YR"&amp;$C3&amp;"]",02_RAW_DATA!$E$1:$U$1,0)),"&gt;-1E+300")=0,"",SUMIFS(INDEX(02_RAW_DATA!$E$2:$U$57,0,MATCH($C3&amp;" [YR"&amp;$C3&amp;"]",02_RAW_DATA!$E$1:$U$1,0)),02_RAW_DATA!$B$2:$B$57,$B3,02_RAW_DATA!$D$2:$D$57,01_README!$C$39))</f>
        <v>0.428842717780173</v>
      </c>
      <c r="Q3" s="10" t="n">
        <f aca="false">IF(COUNTIFS(02_RAW_DATA!$B$2:$B$57,$B3,02_RAW_DATA!$D$2:$D$57,01_README!$C$40,INDEX(02_RAW_DATA!$E$2:$U$57,0,MATCH($C3&amp;" [YR"&amp;$C3&amp;"]",02_RAW_DATA!$E$1:$U$1,0)),"&gt;-1E+300")=0,"",SUMIFS(INDEX(02_RAW_DATA!$E$2:$U$57,0,MATCH($C3&amp;" [YR"&amp;$C3&amp;"]",02_RAW_DATA!$E$1:$U$1,0)),02_RAW_DATA!$B$2:$B$57,$B3,02_RAW_DATA!$D$2:$D$57,01_README!$C$40))</f>
        <v>112312000000</v>
      </c>
    </row>
    <row r="4" customFormat="false" ht="15" hidden="false" customHeight="false" outlineLevel="0" collapsed="false">
      <c r="A4" s="8" t="s">
        <v>127</v>
      </c>
      <c r="B4" s="8" t="s">
        <v>128</v>
      </c>
      <c r="C4" s="8" t="n">
        <v>2012</v>
      </c>
      <c r="D4" s="10" t="n">
        <f aca="false">IF(COUNTIFS(02_RAW_DATA!$B$2:$B$57,$B4,02_RAW_DATA!$D$2:$D$57,01_README!$C$27,INDEX(02_RAW_DATA!$E$2:$U$57,0,MATCH($C4&amp;" [YR"&amp;$C4&amp;"]",02_RAW_DATA!$E$1:$U$1,0)),"&gt;-1E+300")=0,"",SUMIFS(INDEX(02_RAW_DATA!$E$2:$U$57,0,MATCH($C4&amp;" [YR"&amp;$C4&amp;"]",02_RAW_DATA!$E$1:$U$1,0)),02_RAW_DATA!$B$2:$B$57,$B4,02_RAW_DATA!$D$2:$D$57,01_README!$C$27))</f>
        <v>128470269689.958</v>
      </c>
      <c r="E4" s="11" t="n">
        <f aca="false">IF(COUNTIFS(02_RAW_DATA!$B$2:$B$57,$B4,02_RAW_DATA!$D$2:$D$57,01_README!$C$28,INDEX(02_RAW_DATA!$E$2:$U$57,0,MATCH($C4&amp;" [YR"&amp;$C4&amp;"]",02_RAW_DATA!$E$1:$U$1,0)),"&gt;-1E+300")=0,"",SUMIFS(INDEX(02_RAW_DATA!$E$2:$U$57,0,MATCH($C4&amp;" [YR"&amp;$C4&amp;"]",02_RAW_DATA!$E$1:$U$1,0)),02_RAW_DATA!$B$2:$B$57,$B4,02_RAW_DATA!$D$2:$D$57,01_README!$C$28))</f>
        <v>-1.33948446518181</v>
      </c>
      <c r="F4" s="10" t="n">
        <f aca="false">IF(COUNTIFS(02_RAW_DATA!$B$2:$B$57,$B4,02_RAW_DATA!$D$2:$D$57,01_README!$C$29,INDEX(02_RAW_DATA!$E$2:$U$57,0,MATCH($C4&amp;" [YR"&amp;$C4&amp;"]",02_RAW_DATA!$E$1:$U$1,0)),"&gt;-1E+300")=0,"",SUMIFS(INDEX(02_RAW_DATA!$E$2:$U$57,0,MATCH($C4&amp;" [YR"&amp;$C4&amp;"]",02_RAW_DATA!$E$1:$U$1,0)),02_RAW_DATA!$B$2:$B$57,$B4,02_RAW_DATA!$D$2:$D$57,01_README!$C$29))</f>
        <v>12950.1594488143</v>
      </c>
      <c r="G4" s="10" t="n">
        <f aca="false">IF(COUNTIFS(02_RAW_DATA!$B$2:$B$57,$B4,02_RAW_DATA!$D$2:$D$57,01_README!$C$30,INDEX(02_RAW_DATA!$E$2:$U$57,0,MATCH($C4&amp;" [YR"&amp;$C4&amp;"]",02_RAW_DATA!$E$1:$U$1,0)),"&gt;-1E+300")=0,"",SUMIFS(INDEX(02_RAW_DATA!$E$2:$U$57,0,MATCH($C4&amp;" [YR"&amp;$C4&amp;"]",02_RAW_DATA!$E$1:$U$1,0)),02_RAW_DATA!$B$2:$B$57,$B4,02_RAW_DATA!$D$2:$D$57,01_README!$C$30))</f>
        <v>110596984359.093</v>
      </c>
      <c r="H4" s="10" t="n">
        <f aca="false">IF(COUNTIFS(02_RAW_DATA!$B$2:$B$57,$B4,02_RAW_DATA!$D$2:$D$57,01_README!$C$31,INDEX(02_RAW_DATA!$E$2:$U$57,0,MATCH($C4&amp;" [YR"&amp;$C4&amp;"]",02_RAW_DATA!$E$1:$U$1,0)),"&gt;-1E+300")=0,"",SUMIFS(INDEX(02_RAW_DATA!$E$2:$U$57,0,MATCH($C4&amp;" [YR"&amp;$C4&amp;"]",02_RAW_DATA!$E$1:$U$1,0)),02_RAW_DATA!$B$2:$B$57,$B4,02_RAW_DATA!$D$2:$D$57,01_README!$C$31))</f>
        <v>89741957497.6078</v>
      </c>
      <c r="I4" s="10" t="n">
        <f aca="false">IF(COUNTIFS(02_RAW_DATA!$B$2:$B$57,$B4,02_RAW_DATA!$D$2:$D$57,01_README!$C$32,INDEX(02_RAW_DATA!$E$2:$U$57,0,MATCH($C4&amp;" [YR"&amp;$C4&amp;"]",02_RAW_DATA!$E$1:$U$1,0)),"&gt;-1E+300")=0,"",SUMIFS(INDEX(02_RAW_DATA!$E$2:$U$57,0,MATCH($C4&amp;" [YR"&amp;$C4&amp;"]",02_RAW_DATA!$E$1:$U$1,0)),02_RAW_DATA!$B$2:$B$57,$B4,02_RAW_DATA!$D$2:$D$57,01_README!$C$32))</f>
        <v>102889383803.794</v>
      </c>
      <c r="J4" s="11" t="n">
        <f aca="false">IF(COUNTIFS(02_RAW_DATA!$B$2:$B$57,$B4,02_RAW_DATA!$D$2:$D$57,01_README!$C$33,INDEX(02_RAW_DATA!$E$2:$U$57,0,MATCH($C4&amp;" [YR"&amp;$C4&amp;"]",02_RAW_DATA!$E$1:$U$1,0)),"&gt;-1E+300")=0,"",SUMIFS(INDEX(02_RAW_DATA!$E$2:$U$57,0,MATCH($C4&amp;" [YR"&amp;$C4&amp;"]",02_RAW_DATA!$E$1:$U$1,0)),02_RAW_DATA!$B$2:$B$57,$B4,02_RAW_DATA!$D$2:$D$57,01_README!$C$33))</f>
        <v>86.0876097061215</v>
      </c>
      <c r="K4" s="11" t="n">
        <f aca="false">IF(COUNTIFS(02_RAW_DATA!$B$2:$B$57,$B4,02_RAW_DATA!$D$2:$D$57,01_README!$C$34,INDEX(02_RAW_DATA!$E$2:$U$57,0,MATCH($C4&amp;" [YR"&amp;$C4&amp;"]",02_RAW_DATA!$E$1:$U$1,0)),"&gt;-1E+300")=0,"",SUMIFS(INDEX(02_RAW_DATA!$E$2:$U$57,0,MATCH($C4&amp;" [YR"&amp;$C4&amp;"]",02_RAW_DATA!$E$1:$U$1,0)),02_RAW_DATA!$B$2:$B$57,$B4,02_RAW_DATA!$D$2:$D$57,01_README!$C$34))</f>
        <v>80.088088903449</v>
      </c>
      <c r="L4" s="11" t="n">
        <f aca="false">IF(COUNTIFS(02_RAW_DATA!$B$2:$B$57,$B4,02_RAW_DATA!$D$2:$D$57,01_README!$C$35,INDEX(02_RAW_DATA!$E$2:$U$57,0,MATCH($C4&amp;" [YR"&amp;$C4&amp;"]",02_RAW_DATA!$E$1:$U$1,0)),"&gt;-1E+300")=0,"",SUMIFS(INDEX(02_RAW_DATA!$E$2:$U$57,0,MATCH($C4&amp;" [YR"&amp;$C4&amp;"]",02_RAW_DATA!$E$1:$U$1,0)),02_RAW_DATA!$B$2:$B$57,$B4,02_RAW_DATA!$D$2:$D$57,01_README!$C$35))</f>
        <v>166.17569860957</v>
      </c>
      <c r="M4" s="10" t="n">
        <f aca="false">IF(COUNTIFS(02_RAW_DATA!$B$2:$B$57,$B4,02_RAW_DATA!$D$2:$D$57,01_README!$C$36,INDEX(02_RAW_DATA!$E$2:$U$57,0,MATCH($C4&amp;" [YR"&amp;$C4&amp;"]",02_RAW_DATA!$E$1:$U$1,0)),"&gt;-1E+300")=0,"",SUMIFS(INDEX(02_RAW_DATA!$E$2:$U$57,0,MATCH($C4&amp;" [YR"&amp;$C4&amp;"]",02_RAW_DATA!$E$1:$U$1,0)),02_RAW_DATA!$B$2:$B$57,$B4,02_RAW_DATA!$D$2:$D$57,01_README!$C$36))</f>
        <v>10670096331.9645</v>
      </c>
      <c r="N4" s="11" t="n">
        <f aca="false">IF(COUNTIFS(02_RAW_DATA!$B$2:$B$57,$B4,02_RAW_DATA!$D$2:$D$57,01_README!$C$37,INDEX(02_RAW_DATA!$E$2:$U$57,0,MATCH($C4&amp;" [YR"&amp;$C4&amp;"]",02_RAW_DATA!$E$1:$U$1,0)),"&gt;-1E+300")=0,"",SUMIFS(INDEX(02_RAW_DATA!$E$2:$U$57,0,MATCH($C4&amp;" [YR"&amp;$C4&amp;"]",02_RAW_DATA!$E$1:$U$1,0)),02_RAW_DATA!$B$2:$B$57,$B4,02_RAW_DATA!$D$2:$D$57,01_README!$C$37))</f>
        <v>8.30549850772091</v>
      </c>
      <c r="O4" s="11" t="n">
        <f aca="false">IF(COUNTIFS(02_RAW_DATA!$B$2:$B$57,$B4,02_RAW_DATA!$D$2:$D$57,01_README!$C$38,INDEX(02_RAW_DATA!$E$2:$U$57,0,MATCH($C4&amp;" [YR"&amp;$C4&amp;"]",02_RAW_DATA!$E$1:$U$1,0)),"&gt;-1E+300")=0,"",SUMIFS(INDEX(02_RAW_DATA!$E$2:$U$57,0,MATCH($C4&amp;" [YR"&amp;$C4&amp;"]",02_RAW_DATA!$E$1:$U$1,0)),02_RAW_DATA!$B$2:$B$57,$B4,02_RAW_DATA!$D$2:$D$57,01_README!$C$38))</f>
        <v>18.4937179955194</v>
      </c>
      <c r="P4" s="11" t="n">
        <f aca="false">IF(COUNTIFS(02_RAW_DATA!$B$2:$B$57,$B4,02_RAW_DATA!$D$2:$D$57,01_README!$C$39,INDEX(02_RAW_DATA!$E$2:$U$57,0,MATCH($C4&amp;" [YR"&amp;$C4&amp;"]",02_RAW_DATA!$E$1:$U$1,0)),"&gt;-1E+300")=0,"",SUMIFS(INDEX(02_RAW_DATA!$E$2:$U$57,0,MATCH($C4&amp;" [YR"&amp;$C4&amp;"]",02_RAW_DATA!$E$1:$U$1,0)),02_RAW_DATA!$B$2:$B$57,$B4,02_RAW_DATA!$D$2:$D$57,01_README!$C$39))</f>
        <v>1.0790451227521</v>
      </c>
      <c r="Q4" s="10" t="n">
        <f aca="false">IF(COUNTIFS(02_RAW_DATA!$B$2:$B$57,$B4,02_RAW_DATA!$D$2:$D$57,01_README!$C$40,INDEX(02_RAW_DATA!$E$2:$U$57,0,MATCH($C4&amp;" [YR"&amp;$C4&amp;"]",02_RAW_DATA!$E$1:$U$1,0)),"&gt;-1E+300")=0,"",SUMIFS(INDEX(02_RAW_DATA!$E$2:$U$57,0,MATCH($C4&amp;" [YR"&amp;$C4&amp;"]",02_RAW_DATA!$E$1:$U$1,0)),02_RAW_DATA!$B$2:$B$57,$B4,02_RAW_DATA!$D$2:$D$57,01_README!$C$40))</f>
        <v>103570000000</v>
      </c>
    </row>
    <row r="5" customFormat="false" ht="15" hidden="false" customHeight="false" outlineLevel="0" collapsed="false">
      <c r="A5" s="8" t="s">
        <v>127</v>
      </c>
      <c r="B5" s="8" t="s">
        <v>128</v>
      </c>
      <c r="C5" s="8" t="n">
        <v>2013</v>
      </c>
      <c r="D5" s="10" t="n">
        <f aca="false">IF(COUNTIFS(02_RAW_DATA!$B$2:$B$57,$B5,02_RAW_DATA!$D$2:$D$57,01_README!$C$27,INDEX(02_RAW_DATA!$E$2:$U$57,0,MATCH($C5&amp;" [YR"&amp;$C5&amp;"]",02_RAW_DATA!$E$1:$U$1,0)),"&gt;-1E+300")=0,"",SUMIFS(INDEX(02_RAW_DATA!$E$2:$U$57,0,MATCH($C5&amp;" [YR"&amp;$C5&amp;"]",02_RAW_DATA!$E$1:$U$1,0)),02_RAW_DATA!$B$2:$B$57,$B5,02_RAW_DATA!$D$2:$D$57,01_README!$C$27))</f>
        <v>135646053778.582</v>
      </c>
      <c r="E5" s="11" t="n">
        <f aca="false">IF(COUNTIFS(02_RAW_DATA!$B$2:$B$57,$B5,02_RAW_DATA!$D$2:$D$57,01_README!$C$28,INDEX(02_RAW_DATA!$E$2:$U$57,0,MATCH($C5&amp;" [YR"&amp;$C5&amp;"]",02_RAW_DATA!$E$1:$U$1,0)),"&gt;-1E+300")=0,"",SUMIFS(INDEX(02_RAW_DATA!$E$2:$U$57,0,MATCH($C5&amp;" [YR"&amp;$C5&amp;"]",02_RAW_DATA!$E$1:$U$1,0)),02_RAW_DATA!$B$2:$B$57,$B5,02_RAW_DATA!$D$2:$D$57,01_README!$C$28))</f>
        <v>2.03216990678146</v>
      </c>
      <c r="F5" s="10" t="n">
        <f aca="false">IF(COUNTIFS(02_RAW_DATA!$B$2:$B$57,$B5,02_RAW_DATA!$D$2:$D$57,01_README!$C$29,INDEX(02_RAW_DATA!$E$2:$U$57,0,MATCH($C5&amp;" [YR"&amp;$C5&amp;"]",02_RAW_DATA!$E$1:$U$1,0)),"&gt;-1E+300")=0,"",SUMIFS(INDEX(02_RAW_DATA!$E$2:$U$57,0,MATCH($C5&amp;" [YR"&amp;$C5&amp;"]",02_RAW_DATA!$E$1:$U$1,0)),02_RAW_DATA!$B$2:$B$57,$B5,02_RAW_DATA!$D$2:$D$57,01_README!$C$29))</f>
        <v>13739.4620151401</v>
      </c>
      <c r="G5" s="10" t="n">
        <f aca="false">IF(COUNTIFS(02_RAW_DATA!$B$2:$B$57,$B5,02_RAW_DATA!$D$2:$D$57,01_README!$C$30,INDEX(02_RAW_DATA!$E$2:$U$57,0,MATCH($C5&amp;" [YR"&amp;$C5&amp;"]",02_RAW_DATA!$E$1:$U$1,0)),"&gt;-1E+300")=0,"",SUMIFS(INDEX(02_RAW_DATA!$E$2:$U$57,0,MATCH($C5&amp;" [YR"&amp;$C5&amp;"]",02_RAW_DATA!$E$1:$U$1,0)),02_RAW_DATA!$B$2:$B$57,$B5,02_RAW_DATA!$D$2:$D$57,01_README!$C$30))</f>
        <v>115833299805.539</v>
      </c>
      <c r="H5" s="10" t="n">
        <f aca="false">IF(COUNTIFS(02_RAW_DATA!$B$2:$B$57,$B5,02_RAW_DATA!$D$2:$D$57,01_README!$C$31,INDEX(02_RAW_DATA!$E$2:$U$57,0,MATCH($C5&amp;" [YR"&amp;$C5&amp;"]",02_RAW_DATA!$E$1:$U$1,0)),"&gt;-1E+300")=0,"",SUMIFS(INDEX(02_RAW_DATA!$E$2:$U$57,0,MATCH($C5&amp;" [YR"&amp;$C5&amp;"]",02_RAW_DATA!$E$1:$U$1,0)),02_RAW_DATA!$B$2:$B$57,$B5,02_RAW_DATA!$D$2:$D$57,01_README!$C$31))</f>
        <v>93402284304.058</v>
      </c>
      <c r="I5" s="10" t="n">
        <f aca="false">IF(COUNTIFS(02_RAW_DATA!$B$2:$B$57,$B5,02_RAW_DATA!$D$2:$D$57,01_README!$C$32,INDEX(02_RAW_DATA!$E$2:$U$57,0,MATCH($C5&amp;" [YR"&amp;$C5&amp;"]",02_RAW_DATA!$E$1:$U$1,0)),"&gt;-1E+300")=0,"",SUMIFS(INDEX(02_RAW_DATA!$E$2:$U$57,0,MATCH($C5&amp;" [YR"&amp;$C5&amp;"]",02_RAW_DATA!$E$1:$U$1,0)),02_RAW_DATA!$B$2:$B$57,$B5,02_RAW_DATA!$D$2:$D$57,01_README!$C$32))</f>
        <v>107271937235.969</v>
      </c>
      <c r="J5" s="11" t="n">
        <f aca="false">IF(COUNTIFS(02_RAW_DATA!$B$2:$B$57,$B5,02_RAW_DATA!$D$2:$D$57,01_README!$C$33,INDEX(02_RAW_DATA!$E$2:$U$57,0,MATCH($C5&amp;" [YR"&amp;$C5&amp;"]",02_RAW_DATA!$E$1:$U$1,0)),"&gt;-1E+300")=0,"",SUMIFS(INDEX(02_RAW_DATA!$E$2:$U$57,0,MATCH($C5&amp;" [YR"&amp;$C5&amp;"]",02_RAW_DATA!$E$1:$U$1,0)),02_RAW_DATA!$B$2:$B$57,$B5,02_RAW_DATA!$D$2:$D$57,01_README!$C$33))</f>
        <v>85.3937852070622</v>
      </c>
      <c r="K5" s="11" t="n">
        <f aca="false">IF(COUNTIFS(02_RAW_DATA!$B$2:$B$57,$B5,02_RAW_DATA!$D$2:$D$57,01_README!$C$34,INDEX(02_RAW_DATA!$E$2:$U$57,0,MATCH($C5&amp;" [YR"&amp;$C5&amp;"]",02_RAW_DATA!$E$1:$U$1,0)),"&gt;-1E+300")=0,"",SUMIFS(INDEX(02_RAW_DATA!$E$2:$U$57,0,MATCH($C5&amp;" [YR"&amp;$C5&amp;"]",02_RAW_DATA!$E$1:$U$1,0)),02_RAW_DATA!$B$2:$B$57,$B5,02_RAW_DATA!$D$2:$D$57,01_README!$C$34))</f>
        <v>79.0822395844044</v>
      </c>
      <c r="L5" s="11" t="n">
        <f aca="false">IF(COUNTIFS(02_RAW_DATA!$B$2:$B$57,$B5,02_RAW_DATA!$D$2:$D$57,01_README!$C$35,INDEX(02_RAW_DATA!$E$2:$U$57,0,MATCH($C5&amp;" [YR"&amp;$C5&amp;"]",02_RAW_DATA!$E$1:$U$1,0)),"&gt;-1E+300")=0,"",SUMIFS(INDEX(02_RAW_DATA!$E$2:$U$57,0,MATCH($C5&amp;" [YR"&amp;$C5&amp;"]",02_RAW_DATA!$E$1:$U$1,0)),02_RAW_DATA!$B$2:$B$57,$B5,02_RAW_DATA!$D$2:$D$57,01_README!$C$35))</f>
        <v>164.476024791467</v>
      </c>
      <c r="M5" s="10" t="n">
        <f aca="false">IF(COUNTIFS(02_RAW_DATA!$B$2:$B$57,$B5,02_RAW_DATA!$D$2:$D$57,01_README!$C$36,INDEX(02_RAW_DATA!$E$2:$U$57,0,MATCH($C5&amp;" [YR"&amp;$C5&amp;"]",02_RAW_DATA!$E$1:$U$1,0)),"&gt;-1E+300")=0,"",SUMIFS(INDEX(02_RAW_DATA!$E$2:$U$57,0,MATCH($C5&amp;" [YR"&amp;$C5&amp;"]",02_RAW_DATA!$E$1:$U$1,0)),02_RAW_DATA!$B$2:$B$57,$B5,02_RAW_DATA!$D$2:$D$57,01_README!$C$36))</f>
        <v>-3730081935.94212</v>
      </c>
      <c r="N5" s="11" t="n">
        <f aca="false">IF(COUNTIFS(02_RAW_DATA!$B$2:$B$57,$B5,02_RAW_DATA!$D$2:$D$57,01_README!$C$37,INDEX(02_RAW_DATA!$E$2:$U$57,0,MATCH($C5&amp;" [YR"&amp;$C5&amp;"]",02_RAW_DATA!$E$1:$U$1,0)),"&gt;-1E+300")=0,"",SUMIFS(INDEX(02_RAW_DATA!$E$2:$U$57,0,MATCH($C5&amp;" [YR"&amp;$C5&amp;"]",02_RAW_DATA!$E$1:$U$1,0)),02_RAW_DATA!$B$2:$B$57,$B5,02_RAW_DATA!$D$2:$D$57,01_README!$C$37))</f>
        <v>-2.74986395257086</v>
      </c>
      <c r="O5" s="11" t="n">
        <f aca="false">IF(COUNTIFS(02_RAW_DATA!$B$2:$B$57,$B5,02_RAW_DATA!$D$2:$D$57,01_README!$C$38,INDEX(02_RAW_DATA!$E$2:$U$57,0,MATCH($C5&amp;" [YR"&amp;$C5&amp;"]",02_RAW_DATA!$E$1:$U$1,0)),"&gt;-1E+300")=0,"",SUMIFS(INDEX(02_RAW_DATA!$E$2:$U$57,0,MATCH($C5&amp;" [YR"&amp;$C5&amp;"]",02_RAW_DATA!$E$1:$U$1,0)),02_RAW_DATA!$B$2:$B$57,$B5,02_RAW_DATA!$D$2:$D$57,01_README!$C$38))</f>
        <v>18.7073217770592</v>
      </c>
      <c r="P5" s="11" t="n">
        <f aca="false">IF(COUNTIFS(02_RAW_DATA!$B$2:$B$57,$B5,02_RAW_DATA!$D$2:$D$57,01_README!$C$39,INDEX(02_RAW_DATA!$E$2:$U$57,0,MATCH($C5&amp;" [YR"&amp;$C5&amp;"]",02_RAW_DATA!$E$1:$U$1,0)),"&gt;-1E+300")=0,"",SUMIFS(INDEX(02_RAW_DATA!$E$2:$U$57,0,MATCH($C5&amp;" [YR"&amp;$C5&amp;"]",02_RAW_DATA!$E$1:$U$1,0)),02_RAW_DATA!$B$2:$B$57,$B5,02_RAW_DATA!$D$2:$D$57,01_README!$C$39))</f>
        <v>2.99109062228032</v>
      </c>
      <c r="Q5" s="10" t="n">
        <f aca="false">IF(COUNTIFS(02_RAW_DATA!$B$2:$B$57,$B5,02_RAW_DATA!$D$2:$D$57,01_README!$C$40,INDEX(02_RAW_DATA!$E$2:$U$57,0,MATCH($C5&amp;" [YR"&amp;$C5&amp;"]",02_RAW_DATA!$E$1:$U$1,0)),"&gt;-1E+300")=0,"",SUMIFS(INDEX(02_RAW_DATA!$E$2:$U$57,0,MATCH($C5&amp;" [YR"&amp;$C5&amp;"]",02_RAW_DATA!$E$1:$U$1,0)),02_RAW_DATA!$B$2:$B$57,$B5,02_RAW_DATA!$D$2:$D$57,01_README!$C$40))</f>
        <v>107503000000</v>
      </c>
    </row>
    <row r="6" customFormat="false" ht="15" hidden="false" customHeight="false" outlineLevel="0" collapsed="false">
      <c r="A6" s="8" t="s">
        <v>127</v>
      </c>
      <c r="B6" s="8" t="s">
        <v>128</v>
      </c>
      <c r="C6" s="8" t="n">
        <v>2014</v>
      </c>
      <c r="D6" s="10" t="n">
        <f aca="false">IF(COUNTIFS(02_RAW_DATA!$B$2:$B$57,$B6,02_RAW_DATA!$D$2:$D$57,01_README!$C$27,INDEX(02_RAW_DATA!$E$2:$U$57,0,MATCH($C6&amp;" [YR"&amp;$C6&amp;"]",02_RAW_DATA!$E$1:$U$1,0)),"&gt;-1E+300")=0,"",SUMIFS(INDEX(02_RAW_DATA!$E$2:$U$57,0,MATCH($C6&amp;" [YR"&amp;$C6&amp;"]",02_RAW_DATA!$E$1:$U$1,0)),02_RAW_DATA!$B$2:$B$57,$B6,02_RAW_DATA!$D$2:$D$57,01_README!$C$27))</f>
        <v>141128696412.321</v>
      </c>
      <c r="E6" s="11" t="n">
        <f aca="false">IF(COUNTIFS(02_RAW_DATA!$B$2:$B$57,$B6,02_RAW_DATA!$D$2:$D$57,01_README!$C$28,INDEX(02_RAW_DATA!$E$2:$U$57,0,MATCH($C6&amp;" [YR"&amp;$C6&amp;"]",02_RAW_DATA!$E$1:$U$1,0)),"&gt;-1E+300")=0,"",SUMIFS(INDEX(02_RAW_DATA!$E$2:$U$57,0,MATCH($C6&amp;" [YR"&amp;$C6&amp;"]",02_RAW_DATA!$E$1:$U$1,0)),02_RAW_DATA!$B$2:$B$57,$B6,02_RAW_DATA!$D$2:$D$57,01_README!$C$28))</f>
        <v>4.33435364113967</v>
      </c>
      <c r="F6" s="10" t="n">
        <f aca="false">IF(COUNTIFS(02_RAW_DATA!$B$2:$B$57,$B6,02_RAW_DATA!$D$2:$D$57,01_README!$C$29,INDEX(02_RAW_DATA!$E$2:$U$57,0,MATCH($C6&amp;" [YR"&amp;$C6&amp;"]",02_RAW_DATA!$E$1:$U$1,0)),"&gt;-1E+300")=0,"",SUMIFS(INDEX(02_RAW_DATA!$E$2:$U$57,0,MATCH($C6&amp;" [YR"&amp;$C6&amp;"]",02_RAW_DATA!$E$1:$U$1,0)),02_RAW_DATA!$B$2:$B$57,$B6,02_RAW_DATA!$D$2:$D$57,01_README!$C$29))</f>
        <v>14352.501883174</v>
      </c>
      <c r="G6" s="10" t="n">
        <f aca="false">IF(COUNTIFS(02_RAW_DATA!$B$2:$B$57,$B6,02_RAW_DATA!$D$2:$D$57,01_README!$C$30,INDEX(02_RAW_DATA!$E$2:$U$57,0,MATCH($C6&amp;" [YR"&amp;$C6&amp;"]",02_RAW_DATA!$E$1:$U$1,0)),"&gt;-1E+300")=0,"",SUMIFS(INDEX(02_RAW_DATA!$E$2:$U$57,0,MATCH($C6&amp;" [YR"&amp;$C6&amp;"]",02_RAW_DATA!$E$1:$U$1,0)),02_RAW_DATA!$B$2:$B$57,$B6,02_RAW_DATA!$D$2:$D$57,01_README!$C$30))</f>
        <v>122820302233.432</v>
      </c>
      <c r="H6" s="10" t="n">
        <f aca="false">IF(COUNTIFS(02_RAW_DATA!$B$2:$B$57,$B6,02_RAW_DATA!$D$2:$D$57,01_README!$C$31,INDEX(02_RAW_DATA!$E$2:$U$57,0,MATCH($C6&amp;" [YR"&amp;$C6&amp;"]",02_RAW_DATA!$E$1:$U$1,0)),"&gt;-1E+300")=0,"",SUMIFS(INDEX(02_RAW_DATA!$E$2:$U$57,0,MATCH($C6&amp;" [YR"&amp;$C6&amp;"]",02_RAW_DATA!$E$1:$U$1,0)),02_RAW_DATA!$B$2:$B$57,$B6,02_RAW_DATA!$D$2:$D$57,01_README!$C$31))</f>
        <v>101997234197.104</v>
      </c>
      <c r="I6" s="10" t="n">
        <f aca="false">IF(COUNTIFS(02_RAW_DATA!$B$2:$B$57,$B6,02_RAW_DATA!$D$2:$D$57,01_README!$C$32,INDEX(02_RAW_DATA!$E$2:$U$57,0,MATCH($C6&amp;" [YR"&amp;$C6&amp;"]",02_RAW_DATA!$E$1:$U$1,0)),"&gt;-1E+300")=0,"",SUMIFS(INDEX(02_RAW_DATA!$E$2:$U$57,0,MATCH($C6&amp;" [YR"&amp;$C6&amp;"]",02_RAW_DATA!$E$1:$U$1,0)),02_RAW_DATA!$B$2:$B$57,$B6,02_RAW_DATA!$D$2:$D$57,01_README!$C$32))</f>
        <v>114781649601.249</v>
      </c>
      <c r="J6" s="11" t="n">
        <f aca="false">IF(COUNTIFS(02_RAW_DATA!$B$2:$B$57,$B6,02_RAW_DATA!$D$2:$D$57,01_README!$C$33,INDEX(02_RAW_DATA!$E$2:$U$57,0,MATCH($C6&amp;" [YR"&amp;$C6&amp;"]",02_RAW_DATA!$E$1:$U$1,0)),"&gt;-1E+300")=0,"",SUMIFS(INDEX(02_RAW_DATA!$E$2:$U$57,0,MATCH($C6&amp;" [YR"&amp;$C6&amp;"]",02_RAW_DATA!$E$1:$U$1,0)),02_RAW_DATA!$B$2:$B$57,$B6,02_RAW_DATA!$D$2:$D$57,01_README!$C$33))</f>
        <v>87.0271641102673</v>
      </c>
      <c r="K6" s="11" t="n">
        <f aca="false">IF(COUNTIFS(02_RAW_DATA!$B$2:$B$57,$B6,02_RAW_DATA!$D$2:$D$57,01_README!$C$34,INDEX(02_RAW_DATA!$E$2:$U$57,0,MATCH($C6&amp;" [YR"&amp;$C6&amp;"]",02_RAW_DATA!$E$1:$U$1,0)),"&gt;-1E+300")=0,"",SUMIFS(INDEX(02_RAW_DATA!$E$2:$U$57,0,MATCH($C6&amp;" [YR"&amp;$C6&amp;"]",02_RAW_DATA!$E$1:$U$1,0)),02_RAW_DATA!$B$2:$B$57,$B6,02_RAW_DATA!$D$2:$D$57,01_README!$C$34))</f>
        <v>81.3311909761454</v>
      </c>
      <c r="L6" s="11" t="n">
        <f aca="false">IF(COUNTIFS(02_RAW_DATA!$B$2:$B$57,$B6,02_RAW_DATA!$D$2:$D$57,01_README!$C$35,INDEX(02_RAW_DATA!$E$2:$U$57,0,MATCH($C6&amp;" [YR"&amp;$C6&amp;"]",02_RAW_DATA!$E$1:$U$1,0)),"&gt;-1E+300")=0,"",SUMIFS(INDEX(02_RAW_DATA!$E$2:$U$57,0,MATCH($C6&amp;" [YR"&amp;$C6&amp;"]",02_RAW_DATA!$E$1:$U$1,0)),02_RAW_DATA!$B$2:$B$57,$B6,02_RAW_DATA!$D$2:$D$57,01_README!$C$35))</f>
        <v>168.358355086413</v>
      </c>
      <c r="M6" s="10" t="n">
        <f aca="false">IF(COUNTIFS(02_RAW_DATA!$B$2:$B$57,$B6,02_RAW_DATA!$D$2:$D$57,01_README!$C$36,INDEX(02_RAW_DATA!$E$2:$U$57,0,MATCH($C6&amp;" [YR"&amp;$C6&amp;"]",02_RAW_DATA!$E$1:$U$1,0)),"&gt;-1E+300")=0,"",SUMIFS(INDEX(02_RAW_DATA!$E$2:$U$57,0,MATCH($C6&amp;" [YR"&amp;$C6&amp;"]",02_RAW_DATA!$E$1:$U$1,0)),02_RAW_DATA!$B$2:$B$57,$B6,02_RAW_DATA!$D$2:$D$57,01_README!$C$36))</f>
        <v>12880113629.556</v>
      </c>
      <c r="N6" s="11" t="n">
        <f aca="false">IF(COUNTIFS(02_RAW_DATA!$B$2:$B$57,$B6,02_RAW_DATA!$D$2:$D$57,01_README!$C$37,INDEX(02_RAW_DATA!$E$2:$U$57,0,MATCH($C6&amp;" [YR"&amp;$C6&amp;"]",02_RAW_DATA!$E$1:$U$1,0)),"&gt;-1E+300")=0,"",SUMIFS(INDEX(02_RAW_DATA!$E$2:$U$57,0,MATCH($C6&amp;" [YR"&amp;$C6&amp;"]",02_RAW_DATA!$E$1:$U$1,0)),02_RAW_DATA!$B$2:$B$57,$B6,02_RAW_DATA!$D$2:$D$57,01_README!$C$37))</f>
        <v>9.1265022330579</v>
      </c>
      <c r="O6" s="11" t="n">
        <f aca="false">IF(COUNTIFS(02_RAW_DATA!$B$2:$B$57,$B6,02_RAW_DATA!$D$2:$D$57,01_README!$C$38,INDEX(02_RAW_DATA!$E$2:$U$57,0,MATCH($C6&amp;" [YR"&amp;$C6&amp;"]",02_RAW_DATA!$E$1:$U$1,0)),"&gt;-1E+300")=0,"",SUMIFS(INDEX(02_RAW_DATA!$E$2:$U$57,0,MATCH($C6&amp;" [YR"&amp;$C6&amp;"]",02_RAW_DATA!$E$1:$U$1,0)),02_RAW_DATA!$B$2:$B$57,$B6,02_RAW_DATA!$D$2:$D$57,01_README!$C$38))</f>
        <v>19.4234614005581</v>
      </c>
      <c r="P6" s="11" t="n">
        <f aca="false">IF(COUNTIFS(02_RAW_DATA!$B$2:$B$57,$B6,02_RAW_DATA!$D$2:$D$57,01_README!$C$39,INDEX(02_RAW_DATA!$E$2:$U$57,0,MATCH($C6&amp;" [YR"&amp;$C6&amp;"]",02_RAW_DATA!$E$1:$U$1,0)),"&gt;-1E+300")=0,"",SUMIFS(INDEX(02_RAW_DATA!$E$2:$U$57,0,MATCH($C6&amp;" [YR"&amp;$C6&amp;"]",02_RAW_DATA!$E$1:$U$1,0)),02_RAW_DATA!$B$2:$B$57,$B6,02_RAW_DATA!$D$2:$D$57,01_README!$C$39))</f>
        <v>0.747477578049868</v>
      </c>
      <c r="Q6" s="10" t="n">
        <f aca="false">IF(COUNTIFS(02_RAW_DATA!$B$2:$B$57,$B6,02_RAW_DATA!$D$2:$D$57,01_README!$C$40,INDEX(02_RAW_DATA!$E$2:$U$57,0,MATCH($C6&amp;" [YR"&amp;$C6&amp;"]",02_RAW_DATA!$E$1:$U$1,0)),"&gt;-1E+300")=0,"",SUMIFS(INDEX(02_RAW_DATA!$E$2:$U$57,0,MATCH($C6&amp;" [YR"&amp;$C6&amp;"]",02_RAW_DATA!$E$1:$U$1,0)),02_RAW_DATA!$B$2:$B$57,$B6,02_RAW_DATA!$D$2:$D$57,01_README!$C$40))</f>
        <v>110622000000</v>
      </c>
    </row>
    <row r="7" customFormat="false" ht="15" hidden="false" customHeight="false" outlineLevel="0" collapsed="false">
      <c r="A7" s="8" t="s">
        <v>127</v>
      </c>
      <c r="B7" s="8" t="s">
        <v>128</v>
      </c>
      <c r="C7" s="8" t="n">
        <v>2015</v>
      </c>
      <c r="D7" s="10" t="n">
        <f aca="false">IF(COUNTIFS(02_RAW_DATA!$B$2:$B$57,$B7,02_RAW_DATA!$D$2:$D$57,01_README!$C$27,INDEX(02_RAW_DATA!$E$2:$U$57,0,MATCH($C7&amp;" [YR"&amp;$C7&amp;"]",02_RAW_DATA!$E$1:$U$1,0)),"&gt;-1E+300")=0,"",SUMIFS(INDEX(02_RAW_DATA!$E$2:$U$57,0,MATCH($C7&amp;" [YR"&amp;$C7&amp;"]",02_RAW_DATA!$E$1:$U$1,0)),02_RAW_DATA!$B$2:$B$57,$B7,02_RAW_DATA!$D$2:$D$57,01_README!$C$27))</f>
        <v>125244126623.289</v>
      </c>
      <c r="E7" s="11" t="n">
        <f aca="false">IF(COUNTIFS(02_RAW_DATA!$B$2:$B$57,$B7,02_RAW_DATA!$D$2:$D$57,01_README!$C$28,INDEX(02_RAW_DATA!$E$2:$U$57,0,MATCH($C7&amp;" [YR"&amp;$C7&amp;"]",02_RAW_DATA!$E$1:$U$1,0)),"&gt;-1E+300")=0,"",SUMIFS(INDEX(02_RAW_DATA!$E$2:$U$57,0,MATCH($C7&amp;" [YR"&amp;$C7&amp;"]",02_RAW_DATA!$E$1:$U$1,0)),02_RAW_DATA!$B$2:$B$57,$B7,02_RAW_DATA!$D$2:$D$57,01_README!$C$28))</f>
        <v>3.65981615406955</v>
      </c>
      <c r="F7" s="10" t="n">
        <f aca="false">IF(COUNTIFS(02_RAW_DATA!$B$2:$B$57,$B7,02_RAW_DATA!$D$2:$D$57,01_README!$C$29,INDEX(02_RAW_DATA!$E$2:$U$57,0,MATCH($C7&amp;" [YR"&amp;$C7&amp;"]",02_RAW_DATA!$E$1:$U$1,0)),"&gt;-1E+300")=0,"",SUMIFS(INDEX(02_RAW_DATA!$E$2:$U$57,0,MATCH($C7&amp;" [YR"&amp;$C7&amp;"]",02_RAW_DATA!$E$1:$U$1,0)),02_RAW_DATA!$B$2:$B$57,$B7,02_RAW_DATA!$D$2:$D$57,01_README!$C$29))</f>
        <v>12782.9412577973</v>
      </c>
      <c r="G7" s="10" t="n">
        <f aca="false">IF(COUNTIFS(02_RAW_DATA!$B$2:$B$57,$B7,02_RAW_DATA!$D$2:$D$57,01_README!$C$30,INDEX(02_RAW_DATA!$E$2:$U$57,0,MATCH($C7&amp;" [YR"&amp;$C7&amp;"]",02_RAW_DATA!$E$1:$U$1,0)),"&gt;-1E+300")=0,"",SUMIFS(INDEX(02_RAW_DATA!$E$2:$U$57,0,MATCH($C7&amp;" [YR"&amp;$C7&amp;"]",02_RAW_DATA!$E$1:$U$1,0)),02_RAW_DATA!$B$2:$B$57,$B7,02_RAW_DATA!$D$2:$D$57,01_README!$C$30))</f>
        <v>109507057001.96</v>
      </c>
      <c r="H7" s="10" t="n">
        <f aca="false">IF(COUNTIFS(02_RAW_DATA!$B$2:$B$57,$B7,02_RAW_DATA!$D$2:$D$57,01_README!$C$31,INDEX(02_RAW_DATA!$E$2:$U$57,0,MATCH($C7&amp;" [YR"&amp;$C7&amp;"]",02_RAW_DATA!$E$1:$U$1,0)),"&gt;-1E+300")=0,"",SUMIFS(INDEX(02_RAW_DATA!$E$2:$U$57,0,MATCH($C7&amp;" [YR"&amp;$C7&amp;"]",02_RAW_DATA!$E$1:$U$1,0)),02_RAW_DATA!$B$2:$B$57,$B7,02_RAW_DATA!$D$2:$D$57,01_README!$C$31))</f>
        <v>109507057001.96</v>
      </c>
      <c r="I7" s="10" t="n">
        <f aca="false">IF(COUNTIFS(02_RAW_DATA!$B$2:$B$57,$B7,02_RAW_DATA!$D$2:$D$57,01_README!$C$32,INDEX(02_RAW_DATA!$E$2:$U$57,0,MATCH($C7&amp;" [YR"&amp;$C7&amp;"]",02_RAW_DATA!$E$1:$U$1,0)),"&gt;-1E+300")=0,"",SUMIFS(INDEX(02_RAW_DATA!$E$2:$U$57,0,MATCH($C7&amp;" [YR"&amp;$C7&amp;"]",02_RAW_DATA!$E$1:$U$1,0)),02_RAW_DATA!$B$2:$B$57,$B7,02_RAW_DATA!$D$2:$D$57,01_README!$C$32))</f>
        <v>100014767347.158</v>
      </c>
      <c r="J7" s="11" t="n">
        <f aca="false">IF(COUNTIFS(02_RAW_DATA!$B$2:$B$57,$B7,02_RAW_DATA!$D$2:$D$57,01_README!$C$33,INDEX(02_RAW_DATA!$E$2:$U$57,0,MATCH($C7&amp;" [YR"&amp;$C7&amp;"]",02_RAW_DATA!$E$1:$U$1,0)),"&gt;-1E+300")=0,"",SUMIFS(INDEX(02_RAW_DATA!$E$2:$U$57,0,MATCH($C7&amp;" [YR"&amp;$C7&amp;"]",02_RAW_DATA!$E$1:$U$1,0)),02_RAW_DATA!$B$2:$B$57,$B7,02_RAW_DATA!$D$2:$D$57,01_README!$C$33))</f>
        <v>87.4348841373907</v>
      </c>
      <c r="K7" s="11" t="n">
        <f aca="false">IF(COUNTIFS(02_RAW_DATA!$B$2:$B$57,$B7,02_RAW_DATA!$D$2:$D$57,01_README!$C$34,INDEX(02_RAW_DATA!$E$2:$U$57,0,MATCH($C7&amp;" [YR"&amp;$C7&amp;"]",02_RAW_DATA!$E$1:$U$1,0)),"&gt;-1E+300")=0,"",SUMIFS(INDEX(02_RAW_DATA!$E$2:$U$57,0,MATCH($C7&amp;" [YR"&amp;$C7&amp;"]",02_RAW_DATA!$E$1:$U$1,0)),02_RAW_DATA!$B$2:$B$57,$B7,02_RAW_DATA!$D$2:$D$57,01_README!$C$34))</f>
        <v>79.8558543571336</v>
      </c>
      <c r="L7" s="11" t="n">
        <f aca="false">IF(COUNTIFS(02_RAW_DATA!$B$2:$B$57,$B7,02_RAW_DATA!$D$2:$D$57,01_README!$C$35,INDEX(02_RAW_DATA!$E$2:$U$57,0,MATCH($C7&amp;" [YR"&amp;$C7&amp;"]",02_RAW_DATA!$E$1:$U$1,0)),"&gt;-1E+300")=0,"",SUMIFS(INDEX(02_RAW_DATA!$E$2:$U$57,0,MATCH($C7&amp;" [YR"&amp;$C7&amp;"]",02_RAW_DATA!$E$1:$U$1,0)),02_RAW_DATA!$B$2:$B$57,$B7,02_RAW_DATA!$D$2:$D$57,01_README!$C$35))</f>
        <v>167.290738494524</v>
      </c>
      <c r="M7" s="10" t="n">
        <f aca="false">IF(COUNTIFS(02_RAW_DATA!$B$2:$B$57,$B7,02_RAW_DATA!$D$2:$D$57,01_README!$C$36,INDEX(02_RAW_DATA!$E$2:$U$57,0,MATCH($C7&amp;" [YR"&amp;$C7&amp;"]",02_RAW_DATA!$E$1:$U$1,0)),"&gt;-1E+300")=0,"",SUMIFS(INDEX(02_RAW_DATA!$E$2:$U$57,0,MATCH($C7&amp;" [YR"&amp;$C7&amp;"]",02_RAW_DATA!$E$1:$U$1,0)),02_RAW_DATA!$B$2:$B$57,$B7,02_RAW_DATA!$D$2:$D$57,01_README!$C$36))</f>
        <v>-5469731521.61747</v>
      </c>
      <c r="N7" s="11" t="n">
        <f aca="false">IF(COUNTIFS(02_RAW_DATA!$B$2:$B$57,$B7,02_RAW_DATA!$D$2:$D$57,01_README!$C$37,INDEX(02_RAW_DATA!$E$2:$U$57,0,MATCH($C7&amp;" [YR"&amp;$C7&amp;"]",02_RAW_DATA!$E$1:$U$1,0)),"&gt;-1E+300")=0,"",SUMIFS(INDEX(02_RAW_DATA!$E$2:$U$57,0,MATCH($C7&amp;" [YR"&amp;$C7&amp;"]",02_RAW_DATA!$E$1:$U$1,0)),02_RAW_DATA!$B$2:$B$57,$B7,02_RAW_DATA!$D$2:$D$57,01_README!$C$37))</f>
        <v>-4.3672559097876</v>
      </c>
      <c r="O7" s="11" t="n">
        <f aca="false">IF(COUNTIFS(02_RAW_DATA!$B$2:$B$57,$B7,02_RAW_DATA!$D$2:$D$57,01_README!$C$38,INDEX(02_RAW_DATA!$E$2:$U$57,0,MATCH($C7&amp;" [YR"&amp;$C7&amp;"]",02_RAW_DATA!$E$1:$U$1,0)),"&gt;-1E+300")=0,"",SUMIFS(INDEX(02_RAW_DATA!$E$2:$U$57,0,MATCH($C7&amp;" [YR"&amp;$C7&amp;"]",02_RAW_DATA!$E$1:$U$1,0)),02_RAW_DATA!$B$2:$B$57,$B7,02_RAW_DATA!$D$2:$D$57,01_README!$C$38))</f>
        <v>20.2076761720927</v>
      </c>
      <c r="P7" s="11" t="n">
        <f aca="false">IF(COUNTIFS(02_RAW_DATA!$B$2:$B$57,$B7,02_RAW_DATA!$D$2:$D$57,01_README!$C$39,INDEX(02_RAW_DATA!$E$2:$U$57,0,MATCH($C7&amp;" [YR"&amp;$C7&amp;"]",02_RAW_DATA!$E$1:$U$1,0)),"&gt;-1E+300")=0,"",SUMIFS(INDEX(02_RAW_DATA!$E$2:$U$57,0,MATCH($C7&amp;" [YR"&amp;$C7&amp;"]",02_RAW_DATA!$E$1:$U$1,0)),02_RAW_DATA!$B$2:$B$57,$B7,02_RAW_DATA!$D$2:$D$57,01_README!$C$39))</f>
        <v>2.11856059497338</v>
      </c>
      <c r="Q7" s="10" t="n">
        <f aca="false">IF(COUNTIFS(02_RAW_DATA!$B$2:$B$57,$B7,02_RAW_DATA!$D$2:$D$57,01_README!$C$40,INDEX(02_RAW_DATA!$E$2:$U$57,0,MATCH($C7&amp;" [YR"&amp;$C7&amp;"]",02_RAW_DATA!$E$1:$U$1,0)),"&gt;-1E+300")=0,"",SUMIFS(INDEX(02_RAW_DATA!$E$2:$U$57,0,MATCH($C7&amp;" [YR"&amp;$C7&amp;"]",02_RAW_DATA!$E$1:$U$1,0)),02_RAW_DATA!$B$2:$B$57,$B7,02_RAW_DATA!$D$2:$D$57,01_README!$C$40))</f>
        <v>98524000000</v>
      </c>
    </row>
    <row r="8" customFormat="false" ht="15" hidden="false" customHeight="false" outlineLevel="0" collapsed="false">
      <c r="A8" s="8" t="s">
        <v>127</v>
      </c>
      <c r="B8" s="8" t="s">
        <v>128</v>
      </c>
      <c r="C8" s="8" t="n">
        <v>2016</v>
      </c>
      <c r="D8" s="10" t="n">
        <f aca="false">IF(COUNTIFS(02_RAW_DATA!$B$2:$B$57,$B8,02_RAW_DATA!$D$2:$D$57,01_README!$C$27,INDEX(02_RAW_DATA!$E$2:$U$57,0,MATCH($C8&amp;" [YR"&amp;$C8&amp;"]",02_RAW_DATA!$E$1:$U$1,0)),"&gt;-1E+300")=0,"",SUMIFS(INDEX(02_RAW_DATA!$E$2:$U$57,0,MATCH($C8&amp;" [YR"&amp;$C8&amp;"]",02_RAW_DATA!$E$1:$U$1,0)),02_RAW_DATA!$B$2:$B$57,$B8,02_RAW_DATA!$D$2:$D$57,01_README!$C$27))</f>
        <v>128983560865.293</v>
      </c>
      <c r="E8" s="11" t="n">
        <f aca="false">IF(COUNTIFS(02_RAW_DATA!$B$2:$B$57,$B8,02_RAW_DATA!$D$2:$D$57,01_README!$C$28,INDEX(02_RAW_DATA!$E$2:$U$57,0,MATCH($C8&amp;" [YR"&amp;$C8&amp;"]",02_RAW_DATA!$E$1:$U$1,0)),"&gt;-1E+300")=0,"",SUMIFS(INDEX(02_RAW_DATA!$E$2:$U$57,0,MATCH($C8&amp;" [YR"&amp;$C8&amp;"]",02_RAW_DATA!$E$1:$U$1,0)),02_RAW_DATA!$B$2:$B$57,$B8,02_RAW_DATA!$D$2:$D$57,01_README!$C$28))</f>
        <v>2.43864141309342</v>
      </c>
      <c r="F8" s="10" t="n">
        <f aca="false">IF(COUNTIFS(02_RAW_DATA!$B$2:$B$57,$B8,02_RAW_DATA!$D$2:$D$57,01_README!$C$29,INDEX(02_RAW_DATA!$E$2:$U$57,0,MATCH($C8&amp;" [YR"&amp;$C8&amp;"]",02_RAW_DATA!$E$1:$U$1,0)),"&gt;-1E+300")=0,"",SUMIFS(INDEX(02_RAW_DATA!$E$2:$U$57,0,MATCH($C8&amp;" [YR"&amp;$C8&amp;"]",02_RAW_DATA!$E$1:$U$1,0)),02_RAW_DATA!$B$2:$B$57,$B8,02_RAW_DATA!$D$2:$D$57,01_README!$C$29))</f>
        <v>13215.8605277789</v>
      </c>
      <c r="G8" s="10" t="n">
        <f aca="false">IF(COUNTIFS(02_RAW_DATA!$B$2:$B$57,$B8,02_RAW_DATA!$D$2:$D$57,01_README!$C$30,INDEX(02_RAW_DATA!$E$2:$U$57,0,MATCH($C8&amp;" [YR"&amp;$C8&amp;"]",02_RAW_DATA!$E$1:$U$1,0)),"&gt;-1E+300")=0,"",SUMIFS(INDEX(02_RAW_DATA!$E$2:$U$57,0,MATCH($C8&amp;" [YR"&amp;$C8&amp;"]",02_RAW_DATA!$E$1:$U$1,0)),02_RAW_DATA!$B$2:$B$57,$B8,02_RAW_DATA!$D$2:$D$57,01_README!$C$30))</f>
        <v>111069631883.681</v>
      </c>
      <c r="H8" s="10" t="n">
        <f aca="false">IF(COUNTIFS(02_RAW_DATA!$B$2:$B$57,$B8,02_RAW_DATA!$D$2:$D$57,01_README!$C$31,INDEX(02_RAW_DATA!$E$2:$U$57,0,MATCH($C8&amp;" [YR"&amp;$C8&amp;"]",02_RAW_DATA!$E$1:$U$1,0)),"&gt;-1E+300")=0,"",SUMIFS(INDEX(02_RAW_DATA!$E$2:$U$57,0,MATCH($C8&amp;" [YR"&amp;$C8&amp;"]",02_RAW_DATA!$E$1:$U$1,0)),02_RAW_DATA!$B$2:$B$57,$B8,02_RAW_DATA!$D$2:$D$57,01_README!$C$31))</f>
        <v>113670757083.287</v>
      </c>
      <c r="I8" s="10" t="n">
        <f aca="false">IF(COUNTIFS(02_RAW_DATA!$B$2:$B$57,$B8,02_RAW_DATA!$D$2:$D$57,01_README!$C$32,INDEX(02_RAW_DATA!$E$2:$U$57,0,MATCH($C8&amp;" [YR"&amp;$C8&amp;"]",02_RAW_DATA!$E$1:$U$1,0)),"&gt;-1E+300")=0,"",SUMIFS(INDEX(02_RAW_DATA!$E$2:$U$57,0,MATCH($C8&amp;" [YR"&amp;$C8&amp;"]",02_RAW_DATA!$E$1:$U$1,0)),02_RAW_DATA!$B$2:$B$57,$B8,02_RAW_DATA!$D$2:$D$57,01_README!$C$32))</f>
        <v>100427220952.674</v>
      </c>
      <c r="J8" s="11" t="n">
        <f aca="false">IF(COUNTIFS(02_RAW_DATA!$B$2:$B$57,$B8,02_RAW_DATA!$D$2:$D$57,01_README!$C$33,INDEX(02_RAW_DATA!$E$2:$U$57,0,MATCH($C8&amp;" [YR"&amp;$C8&amp;"]",02_RAW_DATA!$E$1:$U$1,0)),"&gt;-1E+300")=0,"",SUMIFS(INDEX(02_RAW_DATA!$E$2:$U$57,0,MATCH($C8&amp;" [YR"&amp;$C8&amp;"]",02_RAW_DATA!$E$1:$U$1,0)),02_RAW_DATA!$B$2:$B$57,$B8,02_RAW_DATA!$D$2:$D$57,01_README!$C$33))</f>
        <v>86.1114634598119</v>
      </c>
      <c r="K8" s="11" t="n">
        <f aca="false">IF(COUNTIFS(02_RAW_DATA!$B$2:$B$57,$B8,02_RAW_DATA!$D$2:$D$57,01_README!$C$34,INDEX(02_RAW_DATA!$E$2:$U$57,0,MATCH($C8&amp;" [YR"&amp;$C8&amp;"]",02_RAW_DATA!$E$1:$U$1,0)),"&gt;-1E+300")=0,"",SUMIFS(INDEX(02_RAW_DATA!$E$2:$U$57,0,MATCH($C8&amp;" [YR"&amp;$C8&amp;"]",02_RAW_DATA!$E$1:$U$1,0)),02_RAW_DATA!$B$2:$B$57,$B8,02_RAW_DATA!$D$2:$D$57,01_README!$C$34))</f>
        <v>77.8604810403383</v>
      </c>
      <c r="L8" s="11" t="n">
        <f aca="false">IF(COUNTIFS(02_RAW_DATA!$B$2:$B$57,$B8,02_RAW_DATA!$D$2:$D$57,01_README!$C$35,INDEX(02_RAW_DATA!$E$2:$U$57,0,MATCH($C8&amp;" [YR"&amp;$C8&amp;"]",02_RAW_DATA!$E$1:$U$1,0)),"&gt;-1E+300")=0,"",SUMIFS(INDEX(02_RAW_DATA!$E$2:$U$57,0,MATCH($C8&amp;" [YR"&amp;$C8&amp;"]",02_RAW_DATA!$E$1:$U$1,0)),02_RAW_DATA!$B$2:$B$57,$B8,02_RAW_DATA!$D$2:$D$57,01_README!$C$35))</f>
        <v>163.97194450015</v>
      </c>
      <c r="M8" s="10" t="n">
        <f aca="false">IF(COUNTIFS(02_RAW_DATA!$B$2:$B$57,$B8,02_RAW_DATA!$D$2:$D$57,01_README!$C$36,INDEX(02_RAW_DATA!$E$2:$U$57,0,MATCH($C8&amp;" [YR"&amp;$C8&amp;"]",02_RAW_DATA!$E$1:$U$1,0)),"&gt;-1E+300")=0,"",SUMIFS(INDEX(02_RAW_DATA!$E$2:$U$57,0,MATCH($C8&amp;" [YR"&amp;$C8&amp;"]",02_RAW_DATA!$E$1:$U$1,0)),02_RAW_DATA!$B$2:$B$57,$B8,02_RAW_DATA!$D$2:$D$57,01_README!$C$36))</f>
        <v>69453473203.2502</v>
      </c>
      <c r="N8" s="11" t="n">
        <f aca="false">IF(COUNTIFS(02_RAW_DATA!$B$2:$B$57,$B8,02_RAW_DATA!$D$2:$D$57,01_README!$C$37,INDEX(02_RAW_DATA!$E$2:$U$57,0,MATCH($C8&amp;" [YR"&amp;$C8&amp;"]",02_RAW_DATA!$E$1:$U$1,0)),"&gt;-1E+300")=0,"",SUMIFS(INDEX(02_RAW_DATA!$E$2:$U$57,0,MATCH($C8&amp;" [YR"&amp;$C8&amp;"]",02_RAW_DATA!$E$1:$U$1,0)),02_RAW_DATA!$B$2:$B$57,$B8,02_RAW_DATA!$D$2:$D$57,01_README!$C$37))</f>
        <v>53.8467636785015</v>
      </c>
      <c r="O8" s="11" t="n">
        <f aca="false">IF(COUNTIFS(02_RAW_DATA!$B$2:$B$57,$B8,02_RAW_DATA!$D$2:$D$57,01_README!$C$38,INDEX(02_RAW_DATA!$E$2:$U$57,0,MATCH($C8&amp;" [YR"&amp;$C8&amp;"]",02_RAW_DATA!$E$1:$U$1,0)),"&gt;-1E+300")=0,"",SUMIFS(INDEX(02_RAW_DATA!$E$2:$U$57,0,MATCH($C8&amp;" [YR"&amp;$C8&amp;"]",02_RAW_DATA!$E$1:$U$1,0)),02_RAW_DATA!$B$2:$B$57,$B8,02_RAW_DATA!$D$2:$D$57,01_README!$C$38))</f>
        <v>19.5575596990539</v>
      </c>
      <c r="P8" s="11" t="n">
        <f aca="false">IF(COUNTIFS(02_RAW_DATA!$B$2:$B$57,$B8,02_RAW_DATA!$D$2:$D$57,01_README!$C$39,INDEX(02_RAW_DATA!$E$2:$U$57,0,MATCH($C8&amp;" [YR"&amp;$C8&amp;"]",02_RAW_DATA!$E$1:$U$1,0)),"&gt;-1E+300")=0,"",SUMIFS(INDEX(02_RAW_DATA!$E$2:$U$57,0,MATCH($C8&amp;" [YR"&amp;$C8&amp;"]",02_RAW_DATA!$E$1:$U$1,0)),02_RAW_DATA!$B$2:$B$57,$B8,02_RAW_DATA!$D$2:$D$57,01_README!$C$39))</f>
        <v>4.40234047330024</v>
      </c>
      <c r="Q8" s="10" t="n">
        <f aca="false">IF(COUNTIFS(02_RAW_DATA!$B$2:$B$57,$B8,02_RAW_DATA!$D$2:$D$57,01_README!$C$40,INDEX(02_RAW_DATA!$E$2:$U$57,0,MATCH($C8&amp;" [YR"&amp;$C8&amp;"]",02_RAW_DATA!$E$1:$U$1,0)),"&gt;-1E+300")=0,"",SUMIFS(INDEX(02_RAW_DATA!$E$2:$U$57,0,MATCH($C8&amp;" [YR"&amp;$C8&amp;"]",02_RAW_DATA!$E$1:$U$1,0)),02_RAW_DATA!$B$2:$B$57,$B8,02_RAW_DATA!$D$2:$D$57,01_README!$C$40))</f>
        <v>101919000000</v>
      </c>
    </row>
    <row r="9" customFormat="false" ht="15" hidden="false" customHeight="false" outlineLevel="0" collapsed="false">
      <c r="A9" s="8" t="s">
        <v>127</v>
      </c>
      <c r="B9" s="8" t="s">
        <v>128</v>
      </c>
      <c r="C9" s="8" t="n">
        <v>2017</v>
      </c>
      <c r="D9" s="10" t="n">
        <f aca="false">IF(COUNTIFS(02_RAW_DATA!$B$2:$B$57,$B9,02_RAW_DATA!$D$2:$D$57,01_README!$C$27,INDEX(02_RAW_DATA!$E$2:$U$57,0,MATCH($C9&amp;" [YR"&amp;$C9&amp;"]",02_RAW_DATA!$E$1:$U$1,0)),"&gt;-1E+300")=0,"",SUMIFS(INDEX(02_RAW_DATA!$E$2:$U$57,0,MATCH($C9&amp;" [YR"&amp;$C9&amp;"]",02_RAW_DATA!$E$1:$U$1,0)),02_RAW_DATA!$B$2:$B$57,$B9,02_RAW_DATA!$D$2:$D$57,01_README!$C$27))</f>
        <v>143335098991.862</v>
      </c>
      <c r="E9" s="11" t="n">
        <f aca="false">IF(COUNTIFS(02_RAW_DATA!$B$2:$B$57,$B9,02_RAW_DATA!$D$2:$D$57,01_README!$C$28,INDEX(02_RAW_DATA!$E$2:$U$57,0,MATCH($C9&amp;" [YR"&amp;$C9&amp;"]",02_RAW_DATA!$E$1:$U$1,0)),"&gt;-1E+300")=0,"",SUMIFS(INDEX(02_RAW_DATA!$E$2:$U$57,0,MATCH($C9&amp;" [YR"&amp;$C9&amp;"]",02_RAW_DATA!$E$1:$U$1,0)),02_RAW_DATA!$B$2:$B$57,$B9,02_RAW_DATA!$D$2:$D$57,01_README!$C$28))</f>
        <v>4.12418389451805</v>
      </c>
      <c r="F9" s="10" t="n">
        <f aca="false">IF(COUNTIFS(02_RAW_DATA!$B$2:$B$57,$B9,02_RAW_DATA!$D$2:$D$57,01_README!$C$29,INDEX(02_RAW_DATA!$E$2:$U$57,0,MATCH($C9&amp;" [YR"&amp;$C9&amp;"]",02_RAW_DATA!$E$1:$U$1,0)),"&gt;-1E+300")=0,"",SUMIFS(INDEX(02_RAW_DATA!$E$2:$U$57,0,MATCH($C9&amp;" [YR"&amp;$C9&amp;"]",02_RAW_DATA!$E$1:$U$1,0)),02_RAW_DATA!$B$2:$B$57,$B9,02_RAW_DATA!$D$2:$D$57,01_README!$C$29))</f>
        <v>14736.1668157258</v>
      </c>
      <c r="G9" s="10" t="n">
        <f aca="false">IF(COUNTIFS(02_RAW_DATA!$B$2:$B$57,$B9,02_RAW_DATA!$D$2:$D$57,01_README!$C$30,INDEX(02_RAW_DATA!$E$2:$U$57,0,MATCH($C9&amp;" [YR"&amp;$C9&amp;"]",02_RAW_DATA!$E$1:$U$1,0)),"&gt;-1E+300")=0,"",SUMIFS(INDEX(02_RAW_DATA!$E$2:$U$57,0,MATCH($C9&amp;" [YR"&amp;$C9&amp;"]",02_RAW_DATA!$E$1:$U$1,0)),02_RAW_DATA!$B$2:$B$57,$B9,02_RAW_DATA!$D$2:$D$57,01_README!$C$30))</f>
        <v>122904333778.696</v>
      </c>
      <c r="H9" s="10" t="n">
        <f aca="false">IF(COUNTIFS(02_RAW_DATA!$B$2:$B$57,$B9,02_RAW_DATA!$D$2:$D$57,01_README!$C$31,INDEX(02_RAW_DATA!$E$2:$U$57,0,MATCH($C9&amp;" [YR"&amp;$C9&amp;"]",02_RAW_DATA!$E$1:$U$1,0)),"&gt;-1E+300")=0,"",SUMIFS(INDEX(02_RAW_DATA!$E$2:$U$57,0,MATCH($C9&amp;" [YR"&amp;$C9&amp;"]",02_RAW_DATA!$E$1:$U$1,0)),02_RAW_DATA!$B$2:$B$57,$B9,02_RAW_DATA!$D$2:$D$57,01_README!$C$31))</f>
        <v>121036315507.775</v>
      </c>
      <c r="I9" s="10" t="n">
        <f aca="false">IF(COUNTIFS(02_RAW_DATA!$B$2:$B$57,$B9,02_RAW_DATA!$D$2:$D$57,01_README!$C$32,INDEX(02_RAW_DATA!$E$2:$U$57,0,MATCH($C9&amp;" [YR"&amp;$C9&amp;"]",02_RAW_DATA!$E$1:$U$1,0)),"&gt;-1E+300")=0,"",SUMIFS(INDEX(02_RAW_DATA!$E$2:$U$57,0,MATCH($C9&amp;" [YR"&amp;$C9&amp;"]",02_RAW_DATA!$E$1:$U$1,0)),02_RAW_DATA!$B$2:$B$57,$B9,02_RAW_DATA!$D$2:$D$57,01_README!$C$32))</f>
        <v>113645673509.049</v>
      </c>
      <c r="J9" s="11" t="n">
        <f aca="false">IF(COUNTIFS(02_RAW_DATA!$B$2:$B$57,$B9,02_RAW_DATA!$D$2:$D$57,01_README!$C$33,INDEX(02_RAW_DATA!$E$2:$U$57,0,MATCH($C9&amp;" [YR"&amp;$C9&amp;"]",02_RAW_DATA!$E$1:$U$1,0)),"&gt;-1E+300")=0,"",SUMIFS(INDEX(02_RAW_DATA!$E$2:$U$57,0,MATCH($C9&amp;" [YR"&amp;$C9&amp;"]",02_RAW_DATA!$E$1:$U$1,0)),02_RAW_DATA!$B$2:$B$57,$B9,02_RAW_DATA!$D$2:$D$57,01_README!$C$33))</f>
        <v>85.7461533449483</v>
      </c>
      <c r="K9" s="11" t="n">
        <f aca="false">IF(COUNTIFS(02_RAW_DATA!$B$2:$B$57,$B9,02_RAW_DATA!$D$2:$D$57,01_README!$C$34,INDEX(02_RAW_DATA!$E$2:$U$57,0,MATCH($C9&amp;" [YR"&amp;$C9&amp;"]",02_RAW_DATA!$E$1:$U$1,0)),"&gt;-1E+300")=0,"",SUMIFS(INDEX(02_RAW_DATA!$E$2:$U$57,0,MATCH($C9&amp;" [YR"&amp;$C9&amp;"]",02_RAW_DATA!$E$1:$U$1,0)),02_RAW_DATA!$B$2:$B$57,$B9,02_RAW_DATA!$D$2:$D$57,01_README!$C$34))</f>
        <v>79.2867024953192</v>
      </c>
      <c r="L9" s="11" t="n">
        <f aca="false">IF(COUNTIFS(02_RAW_DATA!$B$2:$B$57,$B9,02_RAW_DATA!$D$2:$D$57,01_README!$C$35,INDEX(02_RAW_DATA!$E$2:$U$57,0,MATCH($C9&amp;" [YR"&amp;$C9&amp;"]",02_RAW_DATA!$E$1:$U$1,0)),"&gt;-1E+300")=0,"",SUMIFS(INDEX(02_RAW_DATA!$E$2:$U$57,0,MATCH($C9&amp;" [YR"&amp;$C9&amp;"]",02_RAW_DATA!$E$1:$U$1,0)),02_RAW_DATA!$B$2:$B$57,$B9,02_RAW_DATA!$D$2:$D$57,01_README!$C$35))</f>
        <v>165.032855840268</v>
      </c>
      <c r="M9" s="10" t="n">
        <f aca="false">IF(COUNTIFS(02_RAW_DATA!$B$2:$B$57,$B9,02_RAW_DATA!$D$2:$D$57,01_README!$C$36,INDEX(02_RAW_DATA!$E$2:$U$57,0,MATCH($C9&amp;" [YR"&amp;$C9&amp;"]",02_RAW_DATA!$E$1:$U$1,0)),"&gt;-1E+300")=0,"",SUMIFS(INDEX(02_RAW_DATA!$E$2:$U$57,0,MATCH($C9&amp;" [YR"&amp;$C9&amp;"]",02_RAW_DATA!$E$1:$U$1,0)),02_RAW_DATA!$B$2:$B$57,$B9,02_RAW_DATA!$D$2:$D$57,01_README!$C$36))</f>
        <v>-12371761179.6433</v>
      </c>
      <c r="N9" s="11" t="n">
        <f aca="false">IF(COUNTIFS(02_RAW_DATA!$B$2:$B$57,$B9,02_RAW_DATA!$D$2:$D$57,01_README!$C$37,INDEX(02_RAW_DATA!$E$2:$U$57,0,MATCH($C9&amp;" [YR"&amp;$C9&amp;"]",02_RAW_DATA!$E$1:$U$1,0)),"&gt;-1E+300")=0,"",SUMIFS(INDEX(02_RAW_DATA!$E$2:$U$57,0,MATCH($C9&amp;" [YR"&amp;$C9&amp;"]",02_RAW_DATA!$E$1:$U$1,0)),02_RAW_DATA!$B$2:$B$57,$B9,02_RAW_DATA!$D$2:$D$57,01_README!$C$37))</f>
        <v>-8.6313549623639</v>
      </c>
      <c r="O9" s="11" t="n">
        <f aca="false">IF(COUNTIFS(02_RAW_DATA!$B$2:$B$57,$B9,02_RAW_DATA!$D$2:$D$57,01_README!$C$38,INDEX(02_RAW_DATA!$E$2:$U$57,0,MATCH($C9&amp;" [YR"&amp;$C9&amp;"]",02_RAW_DATA!$E$1:$U$1,0)),"&gt;-1E+300")=0,"",SUMIFS(INDEX(02_RAW_DATA!$E$2:$U$57,0,MATCH($C9&amp;" [YR"&amp;$C9&amp;"]",02_RAW_DATA!$E$1:$U$1,0)),02_RAW_DATA!$B$2:$B$57,$B9,02_RAW_DATA!$D$2:$D$57,01_README!$C$38))</f>
        <v>19.1033927278036</v>
      </c>
      <c r="P9" s="11" t="n">
        <f aca="false">IF(COUNTIFS(02_RAW_DATA!$B$2:$B$57,$B9,02_RAW_DATA!$D$2:$D$57,01_README!$C$39,INDEX(02_RAW_DATA!$E$2:$U$57,0,MATCH($C9&amp;" [YR"&amp;$C9&amp;"]",02_RAW_DATA!$E$1:$U$1,0)),"&gt;-1E+300")=0,"",SUMIFS(INDEX(02_RAW_DATA!$E$2:$U$57,0,MATCH($C9&amp;" [YR"&amp;$C9&amp;"]",02_RAW_DATA!$E$1:$U$1,0)),02_RAW_DATA!$B$2:$B$57,$B9,02_RAW_DATA!$D$2:$D$57,01_README!$C$39))</f>
        <v>1.71954655139941</v>
      </c>
      <c r="Q9" s="10" t="n">
        <f aca="false">IF(COUNTIFS(02_RAW_DATA!$B$2:$B$57,$B9,02_RAW_DATA!$D$2:$D$57,01_README!$C$40,INDEX(02_RAW_DATA!$E$2:$U$57,0,MATCH($C9&amp;" [YR"&amp;$C9&amp;"]",02_RAW_DATA!$E$1:$U$1,0)),"&gt;-1E+300")=0,"",SUMIFS(INDEX(02_RAW_DATA!$E$2:$U$57,0,MATCH($C9&amp;" [YR"&amp;$C9&amp;"]",02_RAW_DATA!$E$1:$U$1,0)),02_RAW_DATA!$B$2:$B$57,$B9,02_RAW_DATA!$D$2:$D$57,01_README!$C$40))</f>
        <v>113806000000</v>
      </c>
    </row>
    <row r="10" customFormat="false" ht="15" hidden="false" customHeight="false" outlineLevel="0" collapsed="false">
      <c r="A10" s="8" t="s">
        <v>127</v>
      </c>
      <c r="B10" s="8" t="s">
        <v>128</v>
      </c>
      <c r="C10" s="8" t="n">
        <v>2018</v>
      </c>
      <c r="D10" s="10" t="n">
        <f aca="false">IF(COUNTIFS(02_RAW_DATA!$B$2:$B$57,$B10,02_RAW_DATA!$D$2:$D$57,01_README!$C$27,INDEX(02_RAW_DATA!$E$2:$U$57,0,MATCH($C10&amp;" [YR"&amp;$C10&amp;"]",02_RAW_DATA!$E$1:$U$1,0)),"&gt;-1E+300")=0,"",SUMIFS(INDEX(02_RAW_DATA!$E$2:$U$57,0,MATCH($C10&amp;" [YR"&amp;$C10&amp;"]",02_RAW_DATA!$E$1:$U$1,0)),02_RAW_DATA!$B$2:$B$57,$B10,02_RAW_DATA!$D$2:$D$57,01_README!$C$27))</f>
        <v>161184691013.835</v>
      </c>
      <c r="E10" s="11" t="n">
        <f aca="false">IF(COUNTIFS(02_RAW_DATA!$B$2:$B$57,$B10,02_RAW_DATA!$D$2:$D$57,01_README!$C$28,INDEX(02_RAW_DATA!$E$2:$U$57,0,MATCH($C10&amp;" [YR"&amp;$C10&amp;"]",02_RAW_DATA!$E$1:$U$1,0)),"&gt;-1E+300")=0,"",SUMIFS(INDEX(02_RAW_DATA!$E$2:$U$57,0,MATCH($C10&amp;" [YR"&amp;$C10&amp;"]",02_RAW_DATA!$E$1:$U$1,0)),02_RAW_DATA!$B$2:$B$57,$B10,02_RAW_DATA!$D$2:$D$57,01_README!$C$28))</f>
        <v>5.60613813768876</v>
      </c>
      <c r="F10" s="10" t="n">
        <f aca="false">IF(COUNTIFS(02_RAW_DATA!$B$2:$B$57,$B10,02_RAW_DATA!$D$2:$D$57,01_README!$C$29,INDEX(02_RAW_DATA!$E$2:$U$57,0,MATCH($C10&amp;" [YR"&amp;$C10&amp;"]",02_RAW_DATA!$E$1:$U$1,0)),"&gt;-1E+300")=0,"",SUMIFS(INDEX(02_RAW_DATA!$E$2:$U$57,0,MATCH($C10&amp;" [YR"&amp;$C10&amp;"]",02_RAW_DATA!$E$1:$U$1,0)),02_RAW_DATA!$B$2:$B$57,$B10,02_RAW_DATA!$D$2:$D$57,01_README!$C$29))</f>
        <v>16605.0570511887</v>
      </c>
      <c r="G10" s="10" t="n">
        <f aca="false">IF(COUNTIFS(02_RAW_DATA!$B$2:$B$57,$B10,02_RAW_DATA!$D$2:$D$57,01_README!$C$30,INDEX(02_RAW_DATA!$E$2:$U$57,0,MATCH($C10&amp;" [YR"&amp;$C10&amp;"]",02_RAW_DATA!$E$1:$U$1,0)),"&gt;-1E+300")=0,"",SUMIFS(INDEX(02_RAW_DATA!$E$2:$U$57,0,MATCH($C10&amp;" [YR"&amp;$C10&amp;"]",02_RAW_DATA!$E$1:$U$1,0)),02_RAW_DATA!$B$2:$B$57,$B10,02_RAW_DATA!$D$2:$D$57,01_README!$C$30))</f>
        <v>134422841352.766</v>
      </c>
      <c r="H10" s="10" t="n">
        <f aca="false">IF(COUNTIFS(02_RAW_DATA!$B$2:$B$57,$B10,02_RAW_DATA!$D$2:$D$57,01_README!$C$31,INDEX(02_RAW_DATA!$E$2:$U$57,0,MATCH($C10&amp;" [YR"&amp;$C10&amp;"]",02_RAW_DATA!$E$1:$U$1,0)),"&gt;-1E+300")=0,"",SUMIFS(INDEX(02_RAW_DATA!$E$2:$U$57,0,MATCH($C10&amp;" [YR"&amp;$C10&amp;"]",02_RAW_DATA!$E$1:$U$1,0)),02_RAW_DATA!$B$2:$B$57,$B10,02_RAW_DATA!$D$2:$D$57,01_README!$C$31))</f>
        <v>127076625062.403</v>
      </c>
      <c r="I10" s="10" t="n">
        <f aca="false">IF(COUNTIFS(02_RAW_DATA!$B$2:$B$57,$B10,02_RAW_DATA!$D$2:$D$57,01_README!$C$32,INDEX(02_RAW_DATA!$E$2:$U$57,0,MATCH($C10&amp;" [YR"&amp;$C10&amp;"]",02_RAW_DATA!$E$1:$U$1,0)),"&gt;-1E+300")=0,"",SUMIFS(INDEX(02_RAW_DATA!$E$2:$U$57,0,MATCH($C10&amp;" [YR"&amp;$C10&amp;"]",02_RAW_DATA!$E$1:$U$1,0)),02_RAW_DATA!$B$2:$B$57,$B10,02_RAW_DATA!$D$2:$D$57,01_README!$C$32))</f>
        <v>127826035145.287</v>
      </c>
      <c r="J10" s="11" t="n">
        <f aca="false">IF(COUNTIFS(02_RAW_DATA!$B$2:$B$57,$B10,02_RAW_DATA!$D$2:$D$57,01_README!$C$33,INDEX(02_RAW_DATA!$E$2:$U$57,0,MATCH($C10&amp;" [YR"&amp;$C10&amp;"]",02_RAW_DATA!$E$1:$U$1,0)),"&gt;-1E+300")=0,"",SUMIFS(INDEX(02_RAW_DATA!$E$2:$U$57,0,MATCH($C10&amp;" [YR"&amp;$C10&amp;"]",02_RAW_DATA!$E$1:$U$1,0)),02_RAW_DATA!$B$2:$B$57,$B10,02_RAW_DATA!$D$2:$D$57,01_README!$C$33))</f>
        <v>83.3967795001256</v>
      </c>
      <c r="K10" s="11" t="n">
        <f aca="false">IF(COUNTIFS(02_RAW_DATA!$B$2:$B$57,$B10,02_RAW_DATA!$D$2:$D$57,01_README!$C$34,INDEX(02_RAW_DATA!$E$2:$U$57,0,MATCH($C10&amp;" [YR"&amp;$C10&amp;"]",02_RAW_DATA!$E$1:$U$1,0)),"&gt;-1E+300")=0,"",SUMIFS(INDEX(02_RAW_DATA!$E$2:$U$57,0,MATCH($C10&amp;" [YR"&amp;$C10&amp;"]",02_RAW_DATA!$E$1:$U$1,0)),02_RAW_DATA!$B$2:$B$57,$B10,02_RAW_DATA!$D$2:$D$57,01_README!$C$34))</f>
        <v>79.3040792777992</v>
      </c>
      <c r="L10" s="11" t="n">
        <f aca="false">IF(COUNTIFS(02_RAW_DATA!$B$2:$B$57,$B10,02_RAW_DATA!$D$2:$D$57,01_README!$C$35,INDEX(02_RAW_DATA!$E$2:$U$57,0,MATCH($C10&amp;" [YR"&amp;$C10&amp;"]",02_RAW_DATA!$E$1:$U$1,0)),"&gt;-1E+300")=0,"",SUMIFS(INDEX(02_RAW_DATA!$E$2:$U$57,0,MATCH($C10&amp;" [YR"&amp;$C10&amp;"]",02_RAW_DATA!$E$1:$U$1,0)),02_RAW_DATA!$B$2:$B$57,$B10,02_RAW_DATA!$D$2:$D$57,01_README!$C$35))</f>
        <v>162.700858777925</v>
      </c>
      <c r="M10" s="10" t="n">
        <f aca="false">IF(COUNTIFS(02_RAW_DATA!$B$2:$B$57,$B10,02_RAW_DATA!$D$2:$D$57,01_README!$C$36,INDEX(02_RAW_DATA!$E$2:$U$57,0,MATCH($C10&amp;" [YR"&amp;$C10&amp;"]",02_RAW_DATA!$E$1:$U$1,0)),"&gt;-1E+300")=0,"",SUMIFS(INDEX(02_RAW_DATA!$E$2:$U$57,0,MATCH($C10&amp;" [YR"&amp;$C10&amp;"]",02_RAW_DATA!$E$1:$U$1,0)),02_RAW_DATA!$B$2:$B$57,$B10,02_RAW_DATA!$D$2:$D$57,01_README!$C$36))</f>
        <v>-64648352413.5288</v>
      </c>
      <c r="N10" s="11" t="n">
        <f aca="false">IF(COUNTIFS(02_RAW_DATA!$B$2:$B$57,$B10,02_RAW_DATA!$D$2:$D$57,01_README!$C$37,INDEX(02_RAW_DATA!$E$2:$U$57,0,MATCH($C10&amp;" [YR"&amp;$C10&amp;"]",02_RAW_DATA!$E$1:$U$1,0)),"&gt;-1E+300")=0,"",SUMIFS(INDEX(02_RAW_DATA!$E$2:$U$57,0,MATCH($C10&amp;" [YR"&amp;$C10&amp;"]",02_RAW_DATA!$E$1:$U$1,0)),02_RAW_DATA!$B$2:$B$57,$B10,02_RAW_DATA!$D$2:$D$57,01_README!$C$37))</f>
        <v>-40.1082460169744</v>
      </c>
      <c r="O10" s="11" t="n">
        <f aca="false">IF(COUNTIFS(02_RAW_DATA!$B$2:$B$57,$B10,02_RAW_DATA!$D$2:$D$57,01_README!$C$38,INDEX(02_RAW_DATA!$E$2:$U$57,0,MATCH($C10&amp;" [YR"&amp;$C10&amp;"]",02_RAW_DATA!$E$1:$U$1,0)),"&gt;-1E+300")=0,"",SUMIFS(INDEX(02_RAW_DATA!$E$2:$U$57,0,MATCH($C10&amp;" [YR"&amp;$C10&amp;"]",02_RAW_DATA!$E$1:$U$1,0)),02_RAW_DATA!$B$2:$B$57,$B10,02_RAW_DATA!$D$2:$D$57,01_README!$C$38))</f>
        <v>18.4028423209229</v>
      </c>
      <c r="P10" s="11" t="n">
        <f aca="false">IF(COUNTIFS(02_RAW_DATA!$B$2:$B$57,$B10,02_RAW_DATA!$D$2:$D$57,01_README!$C$39,INDEX(02_RAW_DATA!$E$2:$U$57,0,MATCH($C10&amp;" [YR"&amp;$C10&amp;"]",02_RAW_DATA!$E$1:$U$1,0)),"&gt;-1E+300")=0,"",SUMIFS(INDEX(02_RAW_DATA!$E$2:$U$57,0,MATCH($C10&amp;" [YR"&amp;$C10&amp;"]",02_RAW_DATA!$E$1:$U$1,0)),02_RAW_DATA!$B$2:$B$57,$B10,02_RAW_DATA!$D$2:$D$57,01_README!$C$39))</f>
        <v>0.340906702488933</v>
      </c>
      <c r="Q10" s="10" t="n">
        <f aca="false">IF(COUNTIFS(02_RAW_DATA!$B$2:$B$57,$B10,02_RAW_DATA!$D$2:$D$57,01_README!$C$40,INDEX(02_RAW_DATA!$E$2:$U$57,0,MATCH($C10&amp;" [YR"&amp;$C10&amp;"]",02_RAW_DATA!$E$1:$U$1,0)),"&gt;-1E+300")=0,"",SUMIFS(INDEX(02_RAW_DATA!$E$2:$U$57,0,MATCH($C10&amp;" [YR"&amp;$C10&amp;"]",02_RAW_DATA!$E$1:$U$1,0)),02_RAW_DATA!$B$2:$B$57,$B10,02_RAW_DATA!$D$2:$D$57,01_README!$C$40))</f>
        <v>124705000000</v>
      </c>
    </row>
    <row r="11" customFormat="false" ht="15" hidden="false" customHeight="false" outlineLevel="0" collapsed="false">
      <c r="A11" s="8" t="s">
        <v>127</v>
      </c>
      <c r="B11" s="8" t="s">
        <v>128</v>
      </c>
      <c r="C11" s="8" t="n">
        <v>2019</v>
      </c>
      <c r="D11" s="10" t="n">
        <f aca="false">IF(COUNTIFS(02_RAW_DATA!$B$2:$B$57,$B11,02_RAW_DATA!$D$2:$D$57,01_README!$C$27,INDEX(02_RAW_DATA!$E$2:$U$57,0,MATCH($C11&amp;" [YR"&amp;$C11&amp;"]",02_RAW_DATA!$E$1:$U$1,0)),"&gt;-1E+300")=0,"",SUMIFS(INDEX(02_RAW_DATA!$E$2:$U$57,0,MATCH($C11&amp;" [YR"&amp;$C11&amp;"]",02_RAW_DATA!$E$1:$U$1,0)),02_RAW_DATA!$B$2:$B$57,$B11,02_RAW_DATA!$D$2:$D$57,01_README!$C$27))</f>
        <v>164936682033.992</v>
      </c>
      <c r="E11" s="11" t="n">
        <f aca="false">IF(COUNTIFS(02_RAW_DATA!$B$2:$B$57,$B11,02_RAW_DATA!$D$2:$D$57,01_README!$C$28,INDEX(02_RAW_DATA!$E$2:$U$57,0,MATCH($C11&amp;" [YR"&amp;$C11&amp;"]",02_RAW_DATA!$E$1:$U$1,0)),"&gt;-1E+300")=0,"",SUMIFS(INDEX(02_RAW_DATA!$E$2:$U$57,0,MATCH($C11&amp;" [YR"&amp;$C11&amp;"]",02_RAW_DATA!$E$1:$U$1,0)),02_RAW_DATA!$B$2:$B$57,$B11,02_RAW_DATA!$D$2:$D$57,01_README!$C$28))</f>
        <v>5.07718495088933</v>
      </c>
      <c r="F11" s="10" t="n">
        <f aca="false">IF(COUNTIFS(02_RAW_DATA!$B$2:$B$57,$B11,02_RAW_DATA!$D$2:$D$57,01_README!$C$29,INDEX(02_RAW_DATA!$E$2:$U$57,0,MATCH($C11&amp;" [YR"&amp;$C11&amp;"]",02_RAW_DATA!$E$1:$U$1,0)),"&gt;-1E+300")=0,"",SUMIFS(INDEX(02_RAW_DATA!$E$2:$U$57,0,MATCH($C11&amp;" [YR"&amp;$C11&amp;"]",02_RAW_DATA!$E$1:$U$1,0)),02_RAW_DATA!$B$2:$B$57,$B11,02_RAW_DATA!$D$2:$D$57,01_README!$C$29))</f>
        <v>17012.8598553199</v>
      </c>
      <c r="G11" s="10" t="n">
        <f aca="false">IF(COUNTIFS(02_RAW_DATA!$B$2:$B$57,$B11,02_RAW_DATA!$D$2:$D$57,01_README!$C$30,INDEX(02_RAW_DATA!$E$2:$U$57,0,MATCH($C11&amp;" [YR"&amp;$C11&amp;"]",02_RAW_DATA!$E$1:$U$1,0)),"&gt;-1E+300")=0,"",SUMIFS(INDEX(02_RAW_DATA!$E$2:$U$57,0,MATCH($C11&amp;" [YR"&amp;$C11&amp;"]",02_RAW_DATA!$E$1:$U$1,0)),02_RAW_DATA!$B$2:$B$57,$B11,02_RAW_DATA!$D$2:$D$57,01_README!$C$30))</f>
        <v>133707076997.179</v>
      </c>
      <c r="H11" s="10" t="n">
        <f aca="false">IF(COUNTIFS(02_RAW_DATA!$B$2:$B$57,$B11,02_RAW_DATA!$D$2:$D$57,01_README!$C$31,INDEX(02_RAW_DATA!$E$2:$U$57,0,MATCH($C11&amp;" [YR"&amp;$C11&amp;"]",02_RAW_DATA!$E$1:$U$1,0)),"&gt;-1E+300")=0,"",SUMIFS(INDEX(02_RAW_DATA!$E$2:$U$57,0,MATCH($C11&amp;" [YR"&amp;$C11&amp;"]",02_RAW_DATA!$E$1:$U$1,0)),02_RAW_DATA!$B$2:$B$57,$B11,02_RAW_DATA!$D$2:$D$57,01_README!$C$31))</f>
        <v>134011244796.879</v>
      </c>
      <c r="I11" s="10" t="n">
        <f aca="false">IF(COUNTIFS(02_RAW_DATA!$B$2:$B$57,$B11,02_RAW_DATA!$D$2:$D$57,01_README!$C$32,INDEX(02_RAW_DATA!$E$2:$U$57,0,MATCH($C11&amp;" [YR"&amp;$C11&amp;"]",02_RAW_DATA!$E$1:$U$1,0)),"&gt;-1E+300")=0,"",SUMIFS(INDEX(02_RAW_DATA!$E$2:$U$57,0,MATCH($C11&amp;" [YR"&amp;$C11&amp;"]",02_RAW_DATA!$E$1:$U$1,0)),02_RAW_DATA!$B$2:$B$57,$B11,02_RAW_DATA!$D$2:$D$57,01_README!$C$32))</f>
        <v>130068829560.311</v>
      </c>
      <c r="J11" s="11" t="n">
        <f aca="false">IF(COUNTIFS(02_RAW_DATA!$B$2:$B$57,$B11,02_RAW_DATA!$D$2:$D$57,01_README!$C$33,INDEX(02_RAW_DATA!$E$2:$U$57,0,MATCH($C11&amp;" [YR"&amp;$C11&amp;"]",02_RAW_DATA!$E$1:$U$1,0)),"&gt;-1E+300")=0,"",SUMIFS(INDEX(02_RAW_DATA!$E$2:$U$57,0,MATCH($C11&amp;" [YR"&amp;$C11&amp;"]",02_RAW_DATA!$E$1:$U$1,0)),02_RAW_DATA!$B$2:$B$57,$B11,02_RAW_DATA!$D$2:$D$57,01_README!$C$33))</f>
        <v>81.065700696964</v>
      </c>
      <c r="K11" s="11" t="n">
        <f aca="false">IF(COUNTIFS(02_RAW_DATA!$B$2:$B$57,$B11,02_RAW_DATA!$D$2:$D$57,01_README!$C$34,INDEX(02_RAW_DATA!$E$2:$U$57,0,MATCH($C11&amp;" [YR"&amp;$C11&amp;"]",02_RAW_DATA!$E$1:$U$1,0)),"&gt;-1E+300")=0,"",SUMIFS(INDEX(02_RAW_DATA!$E$2:$U$57,0,MATCH($C11&amp;" [YR"&amp;$C11&amp;"]",02_RAW_DATA!$E$1:$U$1,0)),02_RAW_DATA!$B$2:$B$57,$B11,02_RAW_DATA!$D$2:$D$57,01_README!$C$34))</f>
        <v>78.8598557678669</v>
      </c>
      <c r="L11" s="11" t="n">
        <f aca="false">IF(COUNTIFS(02_RAW_DATA!$B$2:$B$57,$B11,02_RAW_DATA!$D$2:$D$57,01_README!$C$35,INDEX(02_RAW_DATA!$E$2:$U$57,0,MATCH($C11&amp;" [YR"&amp;$C11&amp;"]",02_RAW_DATA!$E$1:$U$1,0)),"&gt;-1E+300")=0,"",SUMIFS(INDEX(02_RAW_DATA!$E$2:$U$57,0,MATCH($C11&amp;" [YR"&amp;$C11&amp;"]",02_RAW_DATA!$E$1:$U$1,0)),02_RAW_DATA!$B$2:$B$57,$B11,02_RAW_DATA!$D$2:$D$57,01_README!$C$35))</f>
        <v>159.925556464831</v>
      </c>
      <c r="M11" s="10" t="n">
        <f aca="false">IF(COUNTIFS(02_RAW_DATA!$B$2:$B$57,$B11,02_RAW_DATA!$D$2:$D$57,01_README!$C$36,INDEX(02_RAW_DATA!$E$2:$U$57,0,MATCH($C11&amp;" [YR"&amp;$C11&amp;"]",02_RAW_DATA!$E$1:$U$1,0)),"&gt;-1E+300")=0,"",SUMIFS(INDEX(02_RAW_DATA!$E$2:$U$57,0,MATCH($C11&amp;" [YR"&amp;$C11&amp;"]",02_RAW_DATA!$E$1:$U$1,0)),02_RAW_DATA!$B$2:$B$57,$B11,02_RAW_DATA!$D$2:$D$57,01_README!$C$36))</f>
        <v>98265233190.1349</v>
      </c>
      <c r="N11" s="11" t="n">
        <f aca="false">IF(COUNTIFS(02_RAW_DATA!$B$2:$B$57,$B11,02_RAW_DATA!$D$2:$D$57,01_README!$C$37,INDEX(02_RAW_DATA!$E$2:$U$57,0,MATCH($C11&amp;" [YR"&amp;$C11&amp;"]",02_RAW_DATA!$E$1:$U$1,0)),"&gt;-1E+300")=0,"",SUMIFS(INDEX(02_RAW_DATA!$E$2:$U$57,0,MATCH($C11&amp;" [YR"&amp;$C11&amp;"]",02_RAW_DATA!$E$1:$U$1,0)),02_RAW_DATA!$B$2:$B$57,$B11,02_RAW_DATA!$D$2:$D$57,01_README!$C$37))</f>
        <v>59.5775493833952</v>
      </c>
      <c r="O11" s="11" t="n">
        <f aca="false">IF(COUNTIFS(02_RAW_DATA!$B$2:$B$57,$B11,02_RAW_DATA!$D$2:$D$57,01_README!$C$38,INDEX(02_RAW_DATA!$E$2:$U$57,0,MATCH($C11&amp;" [YR"&amp;$C11&amp;"]",02_RAW_DATA!$E$1:$U$1,0)),"&gt;-1E+300")=0,"",SUMIFS(INDEX(02_RAW_DATA!$E$2:$U$57,0,MATCH($C11&amp;" [YR"&amp;$C11&amp;"]",02_RAW_DATA!$E$1:$U$1,0)),02_RAW_DATA!$B$2:$B$57,$B11,02_RAW_DATA!$D$2:$D$57,01_README!$C$38))</f>
        <v>17.3261619988245</v>
      </c>
      <c r="P11" s="11" t="n">
        <f aca="false">IF(COUNTIFS(02_RAW_DATA!$B$2:$B$57,$B11,02_RAW_DATA!$D$2:$D$57,01_README!$C$39,INDEX(02_RAW_DATA!$E$2:$U$57,0,MATCH($C11&amp;" [YR"&amp;$C11&amp;"]",02_RAW_DATA!$E$1:$U$1,0)),"&gt;-1E+300")=0,"",SUMIFS(INDEX(02_RAW_DATA!$E$2:$U$57,0,MATCH($C11&amp;" [YR"&amp;$C11&amp;"]",02_RAW_DATA!$E$1:$U$1,0)),02_RAW_DATA!$B$2:$B$57,$B11,02_RAW_DATA!$D$2:$D$57,01_README!$C$39))</f>
        <v>-0.606737568975118</v>
      </c>
      <c r="Q11" s="10" t="n">
        <f aca="false">IF(COUNTIFS(02_RAW_DATA!$B$2:$B$57,$B11,02_RAW_DATA!$D$2:$D$57,01_README!$C$40,INDEX(02_RAW_DATA!$E$2:$U$57,0,MATCH($C11&amp;" [YR"&amp;$C11&amp;"]",02_RAW_DATA!$E$1:$U$1,0)),"&gt;-1E+300")=0,"",SUMIFS(INDEX(02_RAW_DATA!$E$2:$U$57,0,MATCH($C11&amp;" [YR"&amp;$C11&amp;"]",02_RAW_DATA!$E$1:$U$1,0)),02_RAW_DATA!$B$2:$B$57,$B11,02_RAW_DATA!$D$2:$D$57,01_README!$C$40))</f>
        <v>123796000000</v>
      </c>
    </row>
    <row r="12" customFormat="false" ht="15" hidden="false" customHeight="false" outlineLevel="0" collapsed="false">
      <c r="A12" s="8" t="s">
        <v>127</v>
      </c>
      <c r="B12" s="8" t="s">
        <v>128</v>
      </c>
      <c r="C12" s="8" t="n">
        <v>2020</v>
      </c>
      <c r="D12" s="10" t="n">
        <f aca="false">IF(COUNTIFS(02_RAW_DATA!$B$2:$B$57,$B12,02_RAW_DATA!$D$2:$D$57,01_README!$C$27,INDEX(02_RAW_DATA!$E$2:$U$57,0,MATCH($C12&amp;" [YR"&amp;$C12&amp;"]",02_RAW_DATA!$E$1:$U$1,0)),"&gt;-1E+300")=0,"",SUMIFS(INDEX(02_RAW_DATA!$E$2:$U$57,0,MATCH($C12&amp;" [YR"&amp;$C12&amp;"]",02_RAW_DATA!$E$1:$U$1,0)),02_RAW_DATA!$B$2:$B$57,$B12,02_RAW_DATA!$D$2:$D$57,01_README!$C$27))</f>
        <v>158468487754.196</v>
      </c>
      <c r="E12" s="11" t="n">
        <f aca="false">IF(COUNTIFS(02_RAW_DATA!$B$2:$B$57,$B12,02_RAW_DATA!$D$2:$D$57,01_README!$C$28,INDEX(02_RAW_DATA!$E$2:$U$57,0,MATCH($C12&amp;" [YR"&amp;$C12&amp;"]",02_RAW_DATA!$E$1:$U$1,0)),"&gt;-1E+300")=0,"",SUMIFS(INDEX(02_RAW_DATA!$E$2:$U$57,0,MATCH($C12&amp;" [YR"&amp;$C12&amp;"]",02_RAW_DATA!$E$1:$U$1,0)),02_RAW_DATA!$B$2:$B$57,$B12,02_RAW_DATA!$D$2:$D$57,01_README!$C$28))</f>
        <v>-4.33872540024058</v>
      </c>
      <c r="F12" s="10" t="n">
        <f aca="false">IF(COUNTIFS(02_RAW_DATA!$B$2:$B$57,$B12,02_RAW_DATA!$D$2:$D$57,01_README!$C$29,INDEX(02_RAW_DATA!$E$2:$U$57,0,MATCH($C12&amp;" [YR"&amp;$C12&amp;"]",02_RAW_DATA!$E$1:$U$1,0)),"&gt;-1E+300")=0,"",SUMIFS(INDEX(02_RAW_DATA!$E$2:$U$57,0,MATCH($C12&amp;" [YR"&amp;$C12&amp;"]",02_RAW_DATA!$E$1:$U$1,0)),02_RAW_DATA!$B$2:$B$57,$B12,02_RAW_DATA!$D$2:$D$57,01_README!$C$29))</f>
        <v>16386.9308821258</v>
      </c>
      <c r="G12" s="10" t="n">
        <f aca="false">IF(COUNTIFS(02_RAW_DATA!$B$2:$B$57,$B12,02_RAW_DATA!$D$2:$D$57,01_README!$C$30,INDEX(02_RAW_DATA!$E$2:$U$57,0,MATCH($C12&amp;" [YR"&amp;$C12&amp;"]",02_RAW_DATA!$E$1:$U$1,0)),"&gt;-1E+300")=0,"",SUMIFS(INDEX(02_RAW_DATA!$E$2:$U$57,0,MATCH($C12&amp;" [YR"&amp;$C12&amp;"]",02_RAW_DATA!$E$1:$U$1,0)),02_RAW_DATA!$B$2:$B$57,$B12,02_RAW_DATA!$D$2:$D$57,01_README!$C$30))</f>
        <v>123744764553.729</v>
      </c>
      <c r="H12" s="10" t="n">
        <f aca="false">IF(COUNTIFS(02_RAW_DATA!$B$2:$B$57,$B12,02_RAW_DATA!$D$2:$D$57,01_README!$C$31,INDEX(02_RAW_DATA!$E$2:$U$57,0,MATCH($C12&amp;" [YR"&amp;$C12&amp;"]",02_RAW_DATA!$E$1:$U$1,0)),"&gt;-1E+300")=0,"",SUMIFS(INDEX(02_RAW_DATA!$E$2:$U$57,0,MATCH($C12&amp;" [YR"&amp;$C12&amp;"]",02_RAW_DATA!$E$1:$U$1,0)),02_RAW_DATA!$B$2:$B$57,$B12,02_RAW_DATA!$D$2:$D$57,01_README!$C$31))</f>
        <v>125776594840.412</v>
      </c>
      <c r="I12" s="10" t="n">
        <f aca="false">IF(COUNTIFS(02_RAW_DATA!$B$2:$B$57,$B12,02_RAW_DATA!$D$2:$D$57,01_README!$C$32,INDEX(02_RAW_DATA!$E$2:$U$57,0,MATCH($C12&amp;" [YR"&amp;$C12&amp;"]",02_RAW_DATA!$E$1:$U$1,0)),"&gt;-1E+300")=0,"",SUMIFS(INDEX(02_RAW_DATA!$E$2:$U$57,0,MATCH($C12&amp;" [YR"&amp;$C12&amp;"]",02_RAW_DATA!$E$1:$U$1,0)),02_RAW_DATA!$B$2:$B$57,$B12,02_RAW_DATA!$D$2:$D$57,01_README!$C$32))</f>
        <v>121131840171.43</v>
      </c>
      <c r="J12" s="11" t="n">
        <f aca="false">IF(COUNTIFS(02_RAW_DATA!$B$2:$B$57,$B12,02_RAW_DATA!$D$2:$D$57,01_README!$C$33,INDEX(02_RAW_DATA!$E$2:$U$57,0,MATCH($C12&amp;" [YR"&amp;$C12&amp;"]",02_RAW_DATA!$E$1:$U$1,0)),"&gt;-1E+300")=0,"",SUMIFS(INDEX(02_RAW_DATA!$E$2:$U$57,0,MATCH($C12&amp;" [YR"&amp;$C12&amp;"]",02_RAW_DATA!$E$1:$U$1,0)),02_RAW_DATA!$B$2:$B$57,$B12,02_RAW_DATA!$D$2:$D$57,01_README!$C$33))</f>
        <v>78.0879317443048</v>
      </c>
      <c r="K12" s="11" t="n">
        <f aca="false">IF(COUNTIFS(02_RAW_DATA!$B$2:$B$57,$B12,02_RAW_DATA!$D$2:$D$57,01_README!$C$34,INDEX(02_RAW_DATA!$E$2:$U$57,0,MATCH($C12&amp;" [YR"&amp;$C12&amp;"]",02_RAW_DATA!$E$1:$U$1,0)),"&gt;-1E+300")=0,"",SUMIFS(INDEX(02_RAW_DATA!$E$2:$U$57,0,MATCH($C12&amp;" [YR"&amp;$C12&amp;"]",02_RAW_DATA!$E$1:$U$1,0)),02_RAW_DATA!$B$2:$B$57,$B12,02_RAW_DATA!$D$2:$D$57,01_README!$C$34))</f>
        <v>76.4390711920722</v>
      </c>
      <c r="L12" s="11" t="n">
        <f aca="false">IF(COUNTIFS(02_RAW_DATA!$B$2:$B$57,$B12,02_RAW_DATA!$D$2:$D$57,01_README!$C$35,INDEX(02_RAW_DATA!$E$2:$U$57,0,MATCH($C12&amp;" [YR"&amp;$C12&amp;"]",02_RAW_DATA!$E$1:$U$1,0)),"&gt;-1E+300")=0,"",SUMIFS(INDEX(02_RAW_DATA!$E$2:$U$57,0,MATCH($C12&amp;" [YR"&amp;$C12&amp;"]",02_RAW_DATA!$E$1:$U$1,0)),02_RAW_DATA!$B$2:$B$57,$B12,02_RAW_DATA!$D$2:$D$57,01_README!$C$35))</f>
        <v>154.527002936377</v>
      </c>
      <c r="M12" s="10" t="n">
        <f aca="false">IF(COUNTIFS(02_RAW_DATA!$B$2:$B$57,$B12,02_RAW_DATA!$D$2:$D$57,01_README!$C$36,INDEX(02_RAW_DATA!$E$2:$U$57,0,MATCH($C12&amp;" [YR"&amp;$C12&amp;"]",02_RAW_DATA!$E$1:$U$1,0)),"&gt;-1E+300")=0,"",SUMIFS(INDEX(02_RAW_DATA!$E$2:$U$57,0,MATCH($C12&amp;" [YR"&amp;$C12&amp;"]",02_RAW_DATA!$E$1:$U$1,0)),02_RAW_DATA!$B$2:$B$57,$B12,02_RAW_DATA!$D$2:$D$57,01_README!$C$36))</f>
        <v>167399384338.449</v>
      </c>
      <c r="N12" s="11" t="n">
        <f aca="false">IF(COUNTIFS(02_RAW_DATA!$B$2:$B$57,$B12,02_RAW_DATA!$D$2:$D$57,01_README!$C$37,INDEX(02_RAW_DATA!$E$2:$U$57,0,MATCH($C12&amp;" [YR"&amp;$C12&amp;"]",02_RAW_DATA!$E$1:$U$1,0)),"&gt;-1E+300")=0,"",SUMIFS(INDEX(02_RAW_DATA!$E$2:$U$57,0,MATCH($C12&amp;" [YR"&amp;$C12&amp;"]",02_RAW_DATA!$E$1:$U$1,0)),02_RAW_DATA!$B$2:$B$57,$B12,02_RAW_DATA!$D$2:$D$57,01_README!$C$37))</f>
        <v>105.635755544096</v>
      </c>
      <c r="O12" s="11" t="n">
        <f aca="false">IF(COUNTIFS(02_RAW_DATA!$B$2:$B$57,$B12,02_RAW_DATA!$D$2:$D$57,01_README!$C$38,INDEX(02_RAW_DATA!$E$2:$U$57,0,MATCH($C12&amp;" [YR"&amp;$C12&amp;"]",02_RAW_DATA!$E$1:$U$1,0)),"&gt;-1E+300")=0,"",SUMIFS(INDEX(02_RAW_DATA!$E$2:$U$57,0,MATCH($C12&amp;" [YR"&amp;$C12&amp;"]",02_RAW_DATA!$E$1:$U$1,0)),02_RAW_DATA!$B$2:$B$57,$B12,02_RAW_DATA!$D$2:$D$57,01_README!$C$38))</f>
        <v>17.2739907825324</v>
      </c>
      <c r="P12" s="11" t="n">
        <f aca="false">IF(COUNTIFS(02_RAW_DATA!$B$2:$B$57,$B12,02_RAW_DATA!$D$2:$D$57,01_README!$C$39,INDEX(02_RAW_DATA!$E$2:$U$57,0,MATCH($C12&amp;" [YR"&amp;$C12&amp;"]",02_RAW_DATA!$E$1:$U$1,0)),"&gt;-1E+300")=0,"",SUMIFS(INDEX(02_RAW_DATA!$E$2:$U$57,0,MATCH($C12&amp;" [YR"&amp;$C12&amp;"]",02_RAW_DATA!$E$1:$U$1,0)),02_RAW_DATA!$B$2:$B$57,$B12,02_RAW_DATA!$D$2:$D$57,01_README!$C$39))</f>
        <v>-1.03428088875148</v>
      </c>
      <c r="Q12" s="10" t="n">
        <f aca="false">IF(COUNTIFS(02_RAW_DATA!$B$2:$B$57,$B12,02_RAW_DATA!$D$2:$D$57,01_README!$C$40,INDEX(02_RAW_DATA!$E$2:$U$57,0,MATCH($C12&amp;" [YR"&amp;$C12&amp;"]",02_RAW_DATA!$E$1:$U$1,0)),"&gt;-1E+300")=0,"",SUMIFS(INDEX(02_RAW_DATA!$E$2:$U$57,0,MATCH($C12&amp;" [YR"&amp;$C12&amp;"]",02_RAW_DATA!$E$1:$U$1,0)),02_RAW_DATA!$B$2:$B$57,$B12,02_RAW_DATA!$D$2:$D$57,01_README!$C$40))</f>
        <v>120654000000</v>
      </c>
    </row>
    <row r="13" customFormat="false" ht="15" hidden="false" customHeight="false" outlineLevel="0" collapsed="false">
      <c r="A13" s="8" t="s">
        <v>127</v>
      </c>
      <c r="B13" s="8" t="s">
        <v>128</v>
      </c>
      <c r="C13" s="8" t="n">
        <v>2021</v>
      </c>
      <c r="D13" s="10" t="n">
        <f aca="false">IF(COUNTIFS(02_RAW_DATA!$B$2:$B$57,$B13,02_RAW_DATA!$D$2:$D$57,01_README!$C$27,INDEX(02_RAW_DATA!$E$2:$U$57,0,MATCH($C13&amp;" [YR"&amp;$C13&amp;"]",02_RAW_DATA!$E$1:$U$1,0)),"&gt;-1E+300")=0,"",SUMIFS(INDEX(02_RAW_DATA!$E$2:$U$57,0,MATCH($C13&amp;" [YR"&amp;$C13&amp;"]",02_RAW_DATA!$E$1:$U$1,0)),02_RAW_DATA!$B$2:$B$57,$B13,02_RAW_DATA!$D$2:$D$57,01_README!$C$27))</f>
        <v>183282685440.486</v>
      </c>
      <c r="E13" s="11" t="n">
        <f aca="false">IF(COUNTIFS(02_RAW_DATA!$B$2:$B$57,$B13,02_RAW_DATA!$D$2:$D$57,01_README!$C$28,INDEX(02_RAW_DATA!$E$2:$U$57,0,MATCH($C13&amp;" [YR"&amp;$C13&amp;"]",02_RAW_DATA!$E$1:$U$1,0)),"&gt;-1E+300")=0,"",SUMIFS(INDEX(02_RAW_DATA!$E$2:$U$57,0,MATCH($C13&amp;" [YR"&amp;$C13&amp;"]",02_RAW_DATA!$E$1:$U$1,0)),02_RAW_DATA!$B$2:$B$57,$B13,02_RAW_DATA!$D$2:$D$57,01_README!$C$28))</f>
        <v>7.22291580811137</v>
      </c>
      <c r="F13" s="10" t="n">
        <f aca="false">IF(COUNTIFS(02_RAW_DATA!$B$2:$B$57,$B13,02_RAW_DATA!$D$2:$D$57,01_README!$C$29,INDEX(02_RAW_DATA!$E$2:$U$57,0,MATCH($C13&amp;" [YR"&amp;$C13&amp;"]",02_RAW_DATA!$E$1:$U$1,0)),"&gt;-1E+300")=0,"",SUMIFS(INDEX(02_RAW_DATA!$E$2:$U$57,0,MATCH($C13&amp;" [YR"&amp;$C13&amp;"]",02_RAW_DATA!$E$1:$U$1,0)),02_RAW_DATA!$B$2:$B$57,$B13,02_RAW_DATA!$D$2:$D$57,01_README!$C$29))</f>
        <v>19030.628130329</v>
      </c>
      <c r="G13" s="10" t="n">
        <f aca="false">IF(COUNTIFS(02_RAW_DATA!$B$2:$B$57,$B13,02_RAW_DATA!$D$2:$D$57,01_README!$C$30,INDEX(02_RAW_DATA!$E$2:$U$57,0,MATCH($C13&amp;" [YR"&amp;$C13&amp;"]",02_RAW_DATA!$E$1:$U$1,0)),"&gt;-1E+300")=0,"",SUMIFS(INDEX(02_RAW_DATA!$E$2:$U$57,0,MATCH($C13&amp;" [YR"&amp;$C13&amp;"]",02_RAW_DATA!$E$1:$U$1,0)),02_RAW_DATA!$B$2:$B$57,$B13,02_RAW_DATA!$D$2:$D$57,01_README!$C$30))</f>
        <v>145547409482.391</v>
      </c>
      <c r="H13" s="10" t="n">
        <f aca="false">IF(COUNTIFS(02_RAW_DATA!$B$2:$B$57,$B13,02_RAW_DATA!$D$2:$D$57,01_README!$C$31,INDEX(02_RAW_DATA!$E$2:$U$57,0,MATCH($C13&amp;" [YR"&amp;$C13&amp;"]",02_RAW_DATA!$E$1:$U$1,0)),"&gt;-1E+300")=0,"",SUMIFS(INDEX(02_RAW_DATA!$E$2:$U$57,0,MATCH($C13&amp;" [YR"&amp;$C13&amp;"]",02_RAW_DATA!$E$1:$U$1,0)),02_RAW_DATA!$B$2:$B$57,$B13,02_RAW_DATA!$D$2:$D$57,01_README!$C$31))</f>
        <v>136141102222.458</v>
      </c>
      <c r="I13" s="10" t="n">
        <f aca="false">IF(COUNTIFS(02_RAW_DATA!$B$2:$B$57,$B13,02_RAW_DATA!$D$2:$D$57,01_README!$C$32,INDEX(02_RAW_DATA!$E$2:$U$57,0,MATCH($C13&amp;" [YR"&amp;$C13&amp;"]",02_RAW_DATA!$E$1:$U$1,0)),"&gt;-1E+300")=0,"",SUMIFS(INDEX(02_RAW_DATA!$E$2:$U$57,0,MATCH($C13&amp;" [YR"&amp;$C13&amp;"]",02_RAW_DATA!$E$1:$U$1,0)),02_RAW_DATA!$B$2:$B$57,$B13,02_RAW_DATA!$D$2:$D$57,01_README!$C$32))</f>
        <v>146215765499.534</v>
      </c>
      <c r="J13" s="11" t="n">
        <f aca="false">IF(COUNTIFS(02_RAW_DATA!$B$2:$B$57,$B13,02_RAW_DATA!$D$2:$D$57,01_README!$C$33,INDEX(02_RAW_DATA!$E$2:$U$57,0,MATCH($C13&amp;" [YR"&amp;$C13&amp;"]",02_RAW_DATA!$E$1:$U$1,0)),"&gt;-1E+300")=0,"",SUMIFS(INDEX(02_RAW_DATA!$E$2:$U$57,0,MATCH($C13&amp;" [YR"&amp;$C13&amp;"]",02_RAW_DATA!$E$1:$U$1,0)),02_RAW_DATA!$B$2:$B$57,$B13,02_RAW_DATA!$D$2:$D$57,01_README!$C$33))</f>
        <v>79.4114343821378</v>
      </c>
      <c r="K13" s="11" t="n">
        <f aca="false">IF(COUNTIFS(02_RAW_DATA!$B$2:$B$57,$B13,02_RAW_DATA!$D$2:$D$57,01_README!$C$34,INDEX(02_RAW_DATA!$E$2:$U$57,0,MATCH($C13&amp;" [YR"&amp;$C13&amp;"]",02_RAW_DATA!$E$1:$U$1,0)),"&gt;-1E+300")=0,"",SUMIFS(INDEX(02_RAW_DATA!$E$2:$U$57,0,MATCH($C13&amp;" [YR"&amp;$C13&amp;"]",02_RAW_DATA!$E$1:$U$1,0)),02_RAW_DATA!$B$2:$B$57,$B13,02_RAW_DATA!$D$2:$D$57,01_README!$C$34))</f>
        <v>79.7760929506963</v>
      </c>
      <c r="L13" s="11" t="n">
        <f aca="false">IF(COUNTIFS(02_RAW_DATA!$B$2:$B$57,$B13,02_RAW_DATA!$D$2:$D$57,01_README!$C$35,INDEX(02_RAW_DATA!$E$2:$U$57,0,MATCH($C13&amp;" [YR"&amp;$C13&amp;"]",02_RAW_DATA!$E$1:$U$1,0)),"&gt;-1E+300")=0,"",SUMIFS(INDEX(02_RAW_DATA!$E$2:$U$57,0,MATCH($C13&amp;" [YR"&amp;$C13&amp;"]",02_RAW_DATA!$E$1:$U$1,0)),02_RAW_DATA!$B$2:$B$57,$B13,02_RAW_DATA!$D$2:$D$57,01_README!$C$35))</f>
        <v>159.187527332834</v>
      </c>
      <c r="M13" s="10" t="n">
        <f aca="false">IF(COUNTIFS(02_RAW_DATA!$B$2:$B$57,$B13,02_RAW_DATA!$D$2:$D$57,01_README!$C$36,INDEX(02_RAW_DATA!$E$2:$U$57,0,MATCH($C13&amp;" [YR"&amp;$C13&amp;"]",02_RAW_DATA!$E$1:$U$1,0)),"&gt;-1E+300")=0,"",SUMIFS(INDEX(02_RAW_DATA!$E$2:$U$57,0,MATCH($C13&amp;" [YR"&amp;$C13&amp;"]",02_RAW_DATA!$E$1:$U$1,0)),02_RAW_DATA!$B$2:$B$57,$B13,02_RAW_DATA!$D$2:$D$57,01_README!$C$36))</f>
        <v>33474586358.8648</v>
      </c>
      <c r="N13" s="11" t="n">
        <f aca="false">IF(COUNTIFS(02_RAW_DATA!$B$2:$B$57,$B13,02_RAW_DATA!$D$2:$D$57,01_README!$C$37,INDEX(02_RAW_DATA!$E$2:$U$57,0,MATCH($C13&amp;" [YR"&amp;$C13&amp;"]",02_RAW_DATA!$E$1:$U$1,0)),"&gt;-1E+300")=0,"",SUMIFS(INDEX(02_RAW_DATA!$E$2:$U$57,0,MATCH($C13&amp;" [YR"&amp;$C13&amp;"]",02_RAW_DATA!$E$1:$U$1,0)),02_RAW_DATA!$B$2:$B$57,$B13,02_RAW_DATA!$D$2:$D$57,01_README!$C$37))</f>
        <v>18.2639108972104</v>
      </c>
      <c r="O13" s="11" t="n">
        <f aca="false">IF(COUNTIFS(02_RAW_DATA!$B$2:$B$57,$B13,02_RAW_DATA!$D$2:$D$57,01_README!$C$38,INDEX(02_RAW_DATA!$E$2:$U$57,0,MATCH($C13&amp;" [YR"&amp;$C13&amp;"]",02_RAW_DATA!$E$1:$U$1,0)),"&gt;-1E+300")=0,"",SUMIFS(INDEX(02_RAW_DATA!$E$2:$U$57,0,MATCH($C13&amp;" [YR"&amp;$C13&amp;"]",02_RAW_DATA!$E$1:$U$1,0)),02_RAW_DATA!$B$2:$B$57,$B13,02_RAW_DATA!$D$2:$D$57,01_README!$C$38))</f>
        <v>16.5270428077403</v>
      </c>
      <c r="P13" s="11" t="n">
        <f aca="false">IF(COUNTIFS(02_RAW_DATA!$B$2:$B$57,$B13,02_RAW_DATA!$D$2:$D$57,01_README!$C$39,INDEX(02_RAW_DATA!$E$2:$U$57,0,MATCH($C13&amp;" [YR"&amp;$C13&amp;"]",02_RAW_DATA!$E$1:$U$1,0)),"&gt;-1E+300")=0,"",SUMIFS(INDEX(02_RAW_DATA!$E$2:$U$57,0,MATCH($C13&amp;" [YR"&amp;$C13&amp;"]",02_RAW_DATA!$E$1:$U$1,0)),02_RAW_DATA!$B$2:$B$57,$B13,02_RAW_DATA!$D$2:$D$57,01_README!$C$39))</f>
        <v>-4.28505680487641</v>
      </c>
      <c r="Q13" s="10" t="n">
        <f aca="false">IF(COUNTIFS(02_RAW_DATA!$B$2:$B$57,$B13,02_RAW_DATA!$D$2:$D$57,01_README!$C$40,INDEX(02_RAW_DATA!$E$2:$U$57,0,MATCH($C13&amp;" [YR"&amp;$C13&amp;"]",02_RAW_DATA!$E$1:$U$1,0)),"&gt;-1E+300")=0,"",SUMIFS(INDEX(02_RAW_DATA!$E$2:$U$57,0,MATCH($C13&amp;" [YR"&amp;$C13&amp;"]",02_RAW_DATA!$E$1:$U$1,0)),02_RAW_DATA!$B$2:$B$57,$B13,02_RAW_DATA!$D$2:$D$57,01_README!$C$40))</f>
        <v>141830000000</v>
      </c>
    </row>
    <row r="14" customFormat="false" ht="15" hidden="false" customHeight="false" outlineLevel="0" collapsed="false">
      <c r="A14" s="8" t="s">
        <v>127</v>
      </c>
      <c r="B14" s="8" t="s">
        <v>128</v>
      </c>
      <c r="C14" s="8" t="n">
        <v>2022</v>
      </c>
      <c r="D14" s="10" t="n">
        <f aca="false">IF(COUNTIFS(02_RAW_DATA!$B$2:$B$57,$B14,02_RAW_DATA!$D$2:$D$57,01_README!$C$27,INDEX(02_RAW_DATA!$E$2:$U$57,0,MATCH($C14&amp;" [YR"&amp;$C14&amp;"]",02_RAW_DATA!$E$1:$U$1,0)),"&gt;-1E+300")=0,"",SUMIFS(INDEX(02_RAW_DATA!$E$2:$U$57,0,MATCH($C14&amp;" [YR"&amp;$C14&amp;"]",02_RAW_DATA!$E$1:$U$1,0)),02_RAW_DATA!$B$2:$B$57,$B14,02_RAW_DATA!$D$2:$D$57,01_README!$C$27))</f>
        <v>177002580544.155</v>
      </c>
      <c r="E14" s="11" t="n">
        <f aca="false">IF(COUNTIFS(02_RAW_DATA!$B$2:$B$57,$B14,02_RAW_DATA!$D$2:$D$57,01_README!$C$28,INDEX(02_RAW_DATA!$E$2:$U$57,0,MATCH($C14&amp;" [YR"&amp;$C14&amp;"]",02_RAW_DATA!$E$1:$U$1,0)),"&gt;-1E+300")=0,"",SUMIFS(INDEX(02_RAW_DATA!$E$2:$U$57,0,MATCH($C14&amp;" [YR"&amp;$C14&amp;"]",02_RAW_DATA!$E$1:$U$1,0)),02_RAW_DATA!$B$2:$B$57,$B14,02_RAW_DATA!$D$2:$D$57,01_README!$C$28))</f>
        <v>4.15238057779229</v>
      </c>
      <c r="F14" s="10" t="n">
        <f aca="false">IF(COUNTIFS(02_RAW_DATA!$B$2:$B$57,$B14,02_RAW_DATA!$D$2:$D$57,01_README!$C$29,INDEX(02_RAW_DATA!$E$2:$U$57,0,MATCH($C14&amp;" [YR"&amp;$C14&amp;"]",02_RAW_DATA!$E$1:$U$1,0)),"&gt;-1E+300")=0,"",SUMIFS(INDEX(02_RAW_DATA!$E$2:$U$57,0,MATCH($C14&amp;" [YR"&amp;$C14&amp;"]",02_RAW_DATA!$E$1:$U$1,0)),02_RAW_DATA!$B$2:$B$57,$B14,02_RAW_DATA!$D$2:$D$57,01_README!$C$29))</f>
        <v>18428.028825614</v>
      </c>
      <c r="G14" s="10" t="n">
        <f aca="false">IF(COUNTIFS(02_RAW_DATA!$B$2:$B$57,$B14,02_RAW_DATA!$D$2:$D$57,01_README!$C$30,INDEX(02_RAW_DATA!$E$2:$U$57,0,MATCH($C14&amp;" [YR"&amp;$C14&amp;"]",02_RAW_DATA!$E$1:$U$1,0)),"&gt;-1E+300")=0,"",SUMIFS(INDEX(02_RAW_DATA!$E$2:$U$57,0,MATCH($C14&amp;" [YR"&amp;$C14&amp;"]",02_RAW_DATA!$E$1:$U$1,0)),02_RAW_DATA!$B$2:$B$57,$B14,02_RAW_DATA!$D$2:$D$57,01_README!$C$30))</f>
        <v>158966257003.232</v>
      </c>
      <c r="H14" s="10" t="n">
        <f aca="false">IF(COUNTIFS(02_RAW_DATA!$B$2:$B$57,$B14,02_RAW_DATA!$D$2:$D$57,01_README!$C$31,INDEX(02_RAW_DATA!$E$2:$U$57,0,MATCH($C14&amp;" [YR"&amp;$C14&amp;"]",02_RAW_DATA!$E$1:$U$1,0)),"&gt;-1E+300")=0,"",SUMIFS(INDEX(02_RAW_DATA!$E$2:$U$57,0,MATCH($C14&amp;" [YR"&amp;$C14&amp;"]",02_RAW_DATA!$E$1:$U$1,0)),02_RAW_DATA!$B$2:$B$57,$B14,02_RAW_DATA!$D$2:$D$57,01_README!$C$31))</f>
        <v>150757687584.108</v>
      </c>
      <c r="I14" s="10" t="n">
        <f aca="false">IF(COUNTIFS(02_RAW_DATA!$B$2:$B$57,$B14,02_RAW_DATA!$D$2:$D$57,01_README!$C$32,INDEX(02_RAW_DATA!$E$2:$U$57,0,MATCH($C14&amp;" [YR"&amp;$C14&amp;"]",02_RAW_DATA!$E$1:$U$1,0)),"&gt;-1E+300")=0,"",SUMIFS(INDEX(02_RAW_DATA!$E$2:$U$57,0,MATCH($C14&amp;" [YR"&amp;$C14&amp;"]",02_RAW_DATA!$E$1:$U$1,0)),02_RAW_DATA!$B$2:$B$57,$B14,02_RAW_DATA!$D$2:$D$57,01_README!$C$32))</f>
        <v>168435332297.06</v>
      </c>
      <c r="J14" s="11" t="n">
        <f aca="false">IF(COUNTIFS(02_RAW_DATA!$B$2:$B$57,$B14,02_RAW_DATA!$D$2:$D$57,01_README!$C$33,INDEX(02_RAW_DATA!$E$2:$U$57,0,MATCH($C14&amp;" [YR"&amp;$C14&amp;"]",02_RAW_DATA!$E$1:$U$1,0)),"&gt;-1E+300")=0,"",SUMIFS(INDEX(02_RAW_DATA!$E$2:$U$57,0,MATCH($C14&amp;" [YR"&amp;$C14&amp;"]",02_RAW_DATA!$E$1:$U$1,0)),02_RAW_DATA!$B$2:$B$57,$B14,02_RAW_DATA!$D$2:$D$57,01_README!$C$33))</f>
        <v>89.810135261602</v>
      </c>
      <c r="K14" s="11" t="n">
        <f aca="false">IF(COUNTIFS(02_RAW_DATA!$B$2:$B$57,$B14,02_RAW_DATA!$D$2:$D$57,01_README!$C$34,INDEX(02_RAW_DATA!$E$2:$U$57,0,MATCH($C14&amp;" [YR"&amp;$C14&amp;"]",02_RAW_DATA!$E$1:$U$1,0)),"&gt;-1E+300")=0,"",SUMIFS(INDEX(02_RAW_DATA!$E$2:$U$57,0,MATCH($C14&amp;" [YR"&amp;$C14&amp;"]",02_RAW_DATA!$E$1:$U$1,0)),02_RAW_DATA!$B$2:$B$57,$B14,02_RAW_DATA!$D$2:$D$57,01_README!$C$34))</f>
        <v>95.1598173197492</v>
      </c>
      <c r="L14" s="11" t="n">
        <f aca="false">IF(COUNTIFS(02_RAW_DATA!$B$2:$B$57,$B14,02_RAW_DATA!$D$2:$D$57,01_README!$C$35,INDEX(02_RAW_DATA!$E$2:$U$57,0,MATCH($C14&amp;" [YR"&amp;$C14&amp;"]",02_RAW_DATA!$E$1:$U$1,0)),"&gt;-1E+300")=0,"",SUMIFS(INDEX(02_RAW_DATA!$E$2:$U$57,0,MATCH($C14&amp;" [YR"&amp;$C14&amp;"]",02_RAW_DATA!$E$1:$U$1,0)),02_RAW_DATA!$B$2:$B$57,$B14,02_RAW_DATA!$D$2:$D$57,01_README!$C$35))</f>
        <v>184.969952581351</v>
      </c>
      <c r="M14" s="10" t="n">
        <f aca="false">IF(COUNTIFS(02_RAW_DATA!$B$2:$B$57,$B14,02_RAW_DATA!$D$2:$D$57,01_README!$C$36,INDEX(02_RAW_DATA!$E$2:$U$57,0,MATCH($C14&amp;" [YR"&amp;$C14&amp;"]",02_RAW_DATA!$E$1:$U$1,0)),"&gt;-1E+300")=0,"",SUMIFS(INDEX(02_RAW_DATA!$E$2:$U$57,0,MATCH($C14&amp;" [YR"&amp;$C14&amp;"]",02_RAW_DATA!$E$1:$U$1,0)),02_RAW_DATA!$B$2:$B$57,$B14,02_RAW_DATA!$D$2:$D$57,01_README!$C$36))</f>
        <v>-1862893349.47892</v>
      </c>
      <c r="N14" s="11" t="n">
        <f aca="false">IF(COUNTIFS(02_RAW_DATA!$B$2:$B$57,$B14,02_RAW_DATA!$D$2:$D$57,01_README!$C$37,INDEX(02_RAW_DATA!$E$2:$U$57,0,MATCH($C14&amp;" [YR"&amp;$C14&amp;"]",02_RAW_DATA!$E$1:$U$1,0)),"&gt;-1E+300")=0,"",SUMIFS(INDEX(02_RAW_DATA!$E$2:$U$57,0,MATCH($C14&amp;" [YR"&amp;$C14&amp;"]",02_RAW_DATA!$E$1:$U$1,0)),02_RAW_DATA!$B$2:$B$57,$B14,02_RAW_DATA!$D$2:$D$57,01_README!$C$37))</f>
        <v>-1.05246677407293</v>
      </c>
      <c r="O14" s="11" t="n">
        <f aca="false">IF(COUNTIFS(02_RAW_DATA!$B$2:$B$57,$B14,02_RAW_DATA!$D$2:$D$57,01_README!$C$38,INDEX(02_RAW_DATA!$E$2:$U$57,0,MATCH($C14&amp;" [YR"&amp;$C14&amp;"]",02_RAW_DATA!$E$1:$U$1,0)),"&gt;-1E+300")=0,"",SUMIFS(INDEX(02_RAW_DATA!$E$2:$U$57,0,MATCH($C14&amp;" [YR"&amp;$C14&amp;"]",02_RAW_DATA!$E$1:$U$1,0)),02_RAW_DATA!$B$2:$B$57,$B14,02_RAW_DATA!$D$2:$D$57,01_README!$C$38))</f>
        <v>16.7771082108585</v>
      </c>
      <c r="P14" s="11" t="n">
        <f aca="false">IF(COUNTIFS(02_RAW_DATA!$B$2:$B$57,$B14,02_RAW_DATA!$D$2:$D$57,01_README!$C$39,INDEX(02_RAW_DATA!$E$2:$U$57,0,MATCH($C14&amp;" [YR"&amp;$C14&amp;"]",02_RAW_DATA!$E$1:$U$1,0)),"&gt;-1E+300")=0,"",SUMIFS(INDEX(02_RAW_DATA!$E$2:$U$57,0,MATCH($C14&amp;" [YR"&amp;$C14&amp;"]",02_RAW_DATA!$E$1:$U$1,0)),02_RAW_DATA!$B$2:$B$57,$B14,02_RAW_DATA!$D$2:$D$57,01_README!$C$39))</f>
        <v>-8.78389100676718</v>
      </c>
      <c r="Q14" s="10" t="n">
        <f aca="false">IF(COUNTIFS(02_RAW_DATA!$B$2:$B$57,$B14,02_RAW_DATA!$D$2:$D$57,01_README!$C$40,INDEX(02_RAW_DATA!$E$2:$U$57,0,MATCH($C14&amp;" [YR"&amp;$C14&amp;"]",02_RAW_DATA!$E$1:$U$1,0)),"&gt;-1E+300")=0,"",SUMIFS(INDEX(02_RAW_DATA!$E$2:$U$57,0,MATCH($C14&amp;" [YR"&amp;$C14&amp;"]",02_RAW_DATA!$E$1:$U$1,0)),02_RAW_DATA!$B$2:$B$57,$B14,02_RAW_DATA!$D$2:$D$57,01_README!$C$40))</f>
        <v>153580000000</v>
      </c>
    </row>
    <row r="15" customFormat="false" ht="15" hidden="false" customHeight="false" outlineLevel="0" collapsed="false">
      <c r="A15" s="8" t="s">
        <v>127</v>
      </c>
      <c r="B15" s="8" t="s">
        <v>128</v>
      </c>
      <c r="C15" s="8" t="n">
        <v>2023</v>
      </c>
      <c r="D15" s="10" t="n">
        <f aca="false">IF(COUNTIFS(02_RAW_DATA!$B$2:$B$57,$B15,02_RAW_DATA!$D$2:$D$57,01_README!$C$27,INDEX(02_RAW_DATA!$E$2:$U$57,0,MATCH($C15&amp;" [YR"&amp;$C15&amp;"]",02_RAW_DATA!$E$1:$U$1,0)),"&gt;-1E+300")=0,"",SUMIFS(INDEX(02_RAW_DATA!$E$2:$U$57,0,MATCH($C15&amp;" [YR"&amp;$C15&amp;"]",02_RAW_DATA!$E$1:$U$1,0)),02_RAW_DATA!$B$2:$B$57,$B15,02_RAW_DATA!$D$2:$D$57,01_README!$C$27))</f>
        <v>213029511028.874</v>
      </c>
      <c r="E15" s="11" t="n">
        <f aca="false">IF(COUNTIFS(02_RAW_DATA!$B$2:$B$57,$B15,02_RAW_DATA!$D$2:$D$57,01_README!$C$28,INDEX(02_RAW_DATA!$E$2:$U$57,0,MATCH($C15&amp;" [YR"&amp;$C15&amp;"]",02_RAW_DATA!$E$1:$U$1,0)),"&gt;-1E+300")=0,"",SUMIFS(INDEX(02_RAW_DATA!$E$2:$U$57,0,MATCH($C15&amp;" [YR"&amp;$C15&amp;"]",02_RAW_DATA!$E$1:$U$1,0)),02_RAW_DATA!$B$2:$B$57,$B15,02_RAW_DATA!$D$2:$D$57,01_README!$C$28))</f>
        <v>-0.817107370513455</v>
      </c>
      <c r="F15" s="10" t="n">
        <f aca="false">IF(COUNTIFS(02_RAW_DATA!$B$2:$B$57,$B15,02_RAW_DATA!$D$2:$D$57,01_README!$C$29,INDEX(02_RAW_DATA!$E$2:$U$57,0,MATCH($C15&amp;" [YR"&amp;$C15&amp;"]",02_RAW_DATA!$E$1:$U$1,0)),"&gt;-1E+300")=0,"",SUMIFS(INDEX(02_RAW_DATA!$E$2:$U$57,0,MATCH($C15&amp;" [YR"&amp;$C15&amp;"]",02_RAW_DATA!$E$1:$U$1,0)),02_RAW_DATA!$B$2:$B$57,$B15,02_RAW_DATA!$D$2:$D$57,01_README!$C$29))</f>
        <v>22208.6509820466</v>
      </c>
      <c r="G15" s="10" t="n">
        <f aca="false">IF(COUNTIFS(02_RAW_DATA!$B$2:$B$57,$B15,02_RAW_DATA!$D$2:$D$57,01_README!$C$30,INDEX(02_RAW_DATA!$E$2:$U$57,0,MATCH($C15&amp;" [YR"&amp;$C15&amp;"]",02_RAW_DATA!$E$1:$U$1,0)),"&gt;-1E+300")=0,"",SUMIFS(INDEX(02_RAW_DATA!$E$2:$U$57,0,MATCH($C15&amp;" [YR"&amp;$C15&amp;"]",02_RAW_DATA!$E$1:$U$1,0)),02_RAW_DATA!$B$2:$B$57,$B15,02_RAW_DATA!$D$2:$D$57,01_README!$C$30))</f>
        <v>173379370601.313</v>
      </c>
      <c r="H15" s="10" t="n">
        <f aca="false">IF(COUNTIFS(02_RAW_DATA!$B$2:$B$57,$B15,02_RAW_DATA!$D$2:$D$57,01_README!$C$31,INDEX(02_RAW_DATA!$E$2:$U$57,0,MATCH($C15&amp;" [YR"&amp;$C15&amp;"]",02_RAW_DATA!$E$1:$U$1,0)),"&gt;-1E+300")=0,"",SUMIFS(INDEX(02_RAW_DATA!$E$2:$U$57,0,MATCH($C15&amp;" [YR"&amp;$C15&amp;"]",02_RAW_DATA!$E$1:$U$1,0)),02_RAW_DATA!$B$2:$B$57,$B15,02_RAW_DATA!$D$2:$D$57,01_README!$C$31))</f>
        <v>153493471454.954</v>
      </c>
      <c r="I15" s="10" t="n">
        <f aca="false">IF(COUNTIFS(02_RAW_DATA!$B$2:$B$57,$B15,02_RAW_DATA!$D$2:$D$57,01_README!$C$32,INDEX(02_RAW_DATA!$E$2:$U$57,0,MATCH($C15&amp;" [YR"&amp;$C15&amp;"]",02_RAW_DATA!$E$1:$U$1,0)),"&gt;-1E+300")=0,"",SUMIFS(INDEX(02_RAW_DATA!$E$2:$U$57,0,MATCH($C15&amp;" [YR"&amp;$C15&amp;"]",02_RAW_DATA!$E$1:$U$1,0)),02_RAW_DATA!$B$2:$B$57,$B15,02_RAW_DATA!$D$2:$D$57,01_README!$C$32))</f>
        <v>164525537990.966</v>
      </c>
      <c r="J15" s="11" t="n">
        <f aca="false">IF(COUNTIFS(02_RAW_DATA!$B$2:$B$57,$B15,02_RAW_DATA!$D$2:$D$57,01_README!$C$33,INDEX(02_RAW_DATA!$E$2:$U$57,0,MATCH($C15&amp;" [YR"&amp;$C15&amp;"]",02_RAW_DATA!$E$1:$U$1,0)),"&gt;-1E+300")=0,"",SUMIFS(INDEX(02_RAW_DATA!$E$2:$U$57,0,MATCH($C15&amp;" [YR"&amp;$C15&amp;"]",02_RAW_DATA!$E$1:$U$1,0)),02_RAW_DATA!$B$2:$B$57,$B15,02_RAW_DATA!$D$2:$D$57,01_README!$C$33))</f>
        <v>81.3874893501556</v>
      </c>
      <c r="K15" s="11" t="n">
        <f aca="false">IF(COUNTIFS(02_RAW_DATA!$B$2:$B$57,$B15,02_RAW_DATA!$D$2:$D$57,01_README!$C$34,INDEX(02_RAW_DATA!$E$2:$U$57,0,MATCH($C15&amp;" [YR"&amp;$C15&amp;"]",02_RAW_DATA!$E$1:$U$1,0)),"&gt;-1E+300")=0,"",SUMIFS(INDEX(02_RAW_DATA!$E$2:$U$57,0,MATCH($C15&amp;" [YR"&amp;$C15&amp;"]",02_RAW_DATA!$E$1:$U$1,0)),02_RAW_DATA!$B$2:$B$57,$B15,02_RAW_DATA!$D$2:$D$57,01_README!$C$34))</f>
        <v>77.2313362577572</v>
      </c>
      <c r="L15" s="11" t="n">
        <f aca="false">IF(COUNTIFS(02_RAW_DATA!$B$2:$B$57,$B15,02_RAW_DATA!$D$2:$D$57,01_README!$C$35,INDEX(02_RAW_DATA!$E$2:$U$57,0,MATCH($C15&amp;" [YR"&amp;$C15&amp;"]",02_RAW_DATA!$E$1:$U$1,0)),"&gt;-1E+300")=0,"",SUMIFS(INDEX(02_RAW_DATA!$E$2:$U$57,0,MATCH($C15&amp;" [YR"&amp;$C15&amp;"]",02_RAW_DATA!$E$1:$U$1,0)),02_RAW_DATA!$B$2:$B$57,$B15,02_RAW_DATA!$D$2:$D$57,01_README!$C$35))</f>
        <v>158.618825607913</v>
      </c>
      <c r="M15" s="10" t="n">
        <f aca="false">IF(COUNTIFS(02_RAW_DATA!$B$2:$B$57,$B15,02_RAW_DATA!$D$2:$D$57,01_README!$C$36,INDEX(02_RAW_DATA!$E$2:$U$57,0,MATCH($C15&amp;" [YR"&amp;$C15&amp;"]",02_RAW_DATA!$E$1:$U$1,0)),"&gt;-1E+300")=0,"",SUMIFS(INDEX(02_RAW_DATA!$E$2:$U$57,0,MATCH($C15&amp;" [YR"&amp;$C15&amp;"]",02_RAW_DATA!$E$1:$U$1,0)),02_RAW_DATA!$B$2:$B$57,$B15,02_RAW_DATA!$D$2:$D$57,01_README!$C$36))</f>
        <v>-70896108744.3087</v>
      </c>
      <c r="N15" s="11" t="n">
        <f aca="false">IF(COUNTIFS(02_RAW_DATA!$B$2:$B$57,$B15,02_RAW_DATA!$D$2:$D$57,01_README!$C$37,INDEX(02_RAW_DATA!$E$2:$U$57,0,MATCH($C15&amp;" [YR"&amp;$C15&amp;"]",02_RAW_DATA!$E$1:$U$1,0)),"&gt;-1E+300")=0,"",SUMIFS(INDEX(02_RAW_DATA!$E$2:$U$57,0,MATCH($C15&amp;" [YR"&amp;$C15&amp;"]",02_RAW_DATA!$E$1:$U$1,0)),02_RAW_DATA!$B$2:$B$57,$B15,02_RAW_DATA!$D$2:$D$57,01_README!$C$37))</f>
        <v>-33.2799471781632</v>
      </c>
      <c r="O15" s="11" t="n">
        <f aca="false">IF(COUNTIFS(02_RAW_DATA!$B$2:$B$57,$B15,02_RAW_DATA!$D$2:$D$57,01_README!$C$38,INDEX(02_RAW_DATA!$E$2:$U$57,0,MATCH($C15&amp;" [YR"&amp;$C15&amp;"]",02_RAW_DATA!$E$1:$U$1,0)),"&gt;-1E+300")=0,"",SUMIFS(INDEX(02_RAW_DATA!$E$2:$U$57,0,MATCH($C15&amp;" [YR"&amp;$C15&amp;"]",02_RAW_DATA!$E$1:$U$1,0)),02_RAW_DATA!$B$2:$B$57,$B15,02_RAW_DATA!$D$2:$D$57,01_README!$C$38))</f>
        <v>17.171898542953</v>
      </c>
      <c r="P15" s="11" t="n">
        <f aca="false">IF(COUNTIFS(02_RAW_DATA!$B$2:$B$57,$B15,02_RAW_DATA!$D$2:$D$57,01_README!$C$39,INDEX(02_RAW_DATA!$E$2:$U$57,0,MATCH($C15&amp;" [YR"&amp;$C15&amp;"]",02_RAW_DATA!$E$1:$U$1,0)),"&gt;-1E+300")=0,"",SUMIFS(INDEX(02_RAW_DATA!$E$2:$U$57,0,MATCH($C15&amp;" [YR"&amp;$C15&amp;"]",02_RAW_DATA!$E$1:$U$1,0)),02_RAW_DATA!$B$2:$B$57,$B15,02_RAW_DATA!$D$2:$D$57,01_README!$C$39))</f>
        <v>-0.00798002024458191</v>
      </c>
      <c r="Q15" s="10" t="n">
        <f aca="false">IF(COUNTIFS(02_RAW_DATA!$B$2:$B$57,$B15,02_RAW_DATA!$D$2:$D$57,01_README!$C$40,INDEX(02_RAW_DATA!$E$2:$U$57,0,MATCH($C15&amp;" [YR"&amp;$C15&amp;"]",02_RAW_DATA!$E$1:$U$1,0)),"&gt;-1E+300")=0,"",SUMIFS(INDEX(02_RAW_DATA!$E$2:$U$57,0,MATCH($C15&amp;" [YR"&amp;$C15&amp;"]",02_RAW_DATA!$E$1:$U$1,0)),02_RAW_DATA!$B$2:$B$57,$B15,02_RAW_DATA!$D$2:$D$57,01_README!$C$40))</f>
        <v>164359000000</v>
      </c>
    </row>
    <row r="16" customFormat="false" ht="15" hidden="false" customHeight="false" outlineLevel="0" collapsed="false">
      <c r="A16" s="8" t="s">
        <v>127</v>
      </c>
      <c r="B16" s="8" t="s">
        <v>128</v>
      </c>
      <c r="C16" s="8" t="n">
        <v>2024</v>
      </c>
      <c r="D16" s="10" t="n">
        <f aca="false">IF(COUNTIFS(02_RAW_DATA!$B$2:$B$57,$B16,02_RAW_DATA!$D$2:$D$57,01_README!$C$27,INDEX(02_RAW_DATA!$E$2:$U$57,0,MATCH($C16&amp;" [YR"&amp;$C16&amp;"]",02_RAW_DATA!$E$1:$U$1,0)),"&gt;-1E+300")=0,"",SUMIFS(INDEX(02_RAW_DATA!$E$2:$U$57,0,MATCH($C16&amp;" [YR"&amp;$C16&amp;"]",02_RAW_DATA!$E$1:$U$1,0)),02_RAW_DATA!$B$2:$B$57,$B16,02_RAW_DATA!$D$2:$D$57,01_README!$C$27))</f>
        <v>222848211034.367</v>
      </c>
      <c r="E16" s="11" t="n">
        <f aca="false">IF(COUNTIFS(02_RAW_DATA!$B$2:$B$57,$B16,02_RAW_DATA!$D$2:$D$57,01_README!$C$28,INDEX(02_RAW_DATA!$E$2:$U$57,0,MATCH($C16&amp;" [YR"&amp;$C16&amp;"]",02_RAW_DATA!$E$1:$U$1,0)),"&gt;-1E+300")=0,"",SUMIFS(INDEX(02_RAW_DATA!$E$2:$U$57,0,MATCH($C16&amp;" [YR"&amp;$C16&amp;"]",02_RAW_DATA!$E$1:$U$1,0)),02_RAW_DATA!$B$2:$B$57,$B16,02_RAW_DATA!$D$2:$D$57,01_README!$C$28))</f>
        <v>0.709070599066038</v>
      </c>
      <c r="F16" s="10" t="n">
        <f aca="false">IF(COUNTIFS(02_RAW_DATA!$B$2:$B$57,$B16,02_RAW_DATA!$D$2:$D$57,01_README!$C$29,INDEX(02_RAW_DATA!$E$2:$U$57,0,MATCH($C16&amp;" [YR"&amp;$C16&amp;"]",02_RAW_DATA!$E$1:$U$1,0)),"&gt;-1E+300")=0,"",SUMIFS(INDEX(02_RAW_DATA!$E$2:$U$57,0,MATCH($C16&amp;" [YR"&amp;$C16&amp;"]",02_RAW_DATA!$E$1:$U$1,0)),02_RAW_DATA!$B$2:$B$57,$B16,02_RAW_DATA!$D$2:$D$57,01_README!$C$29))</f>
        <v>23305.4482514359</v>
      </c>
      <c r="G16" s="10" t="n">
        <f aca="false">IF(COUNTIFS(02_RAW_DATA!$B$2:$B$57,$B16,02_RAW_DATA!$D$2:$D$57,01_README!$C$30,INDEX(02_RAW_DATA!$E$2:$U$57,0,MATCH($C16&amp;" [YR"&amp;$C16&amp;"]",02_RAW_DATA!$E$1:$U$1,0)),"&gt;-1E+300")=0,"",SUMIFS(INDEX(02_RAW_DATA!$E$2:$U$57,0,MATCH($C16&amp;" [YR"&amp;$C16&amp;"]",02_RAW_DATA!$E$1:$U$1,0)),02_RAW_DATA!$B$2:$B$57,$B16,02_RAW_DATA!$D$2:$D$57,01_README!$C$30))</f>
        <v>169805683762.924</v>
      </c>
      <c r="H16" s="10" t="n">
        <f aca="false">IF(COUNTIFS(02_RAW_DATA!$B$2:$B$57,$B16,02_RAW_DATA!$D$2:$D$57,01_README!$C$31,INDEX(02_RAW_DATA!$E$2:$U$57,0,MATCH($C16&amp;" [YR"&amp;$C16&amp;"]",02_RAW_DATA!$E$1:$U$1,0)),"&gt;-1E+300")=0,"",SUMIFS(INDEX(02_RAW_DATA!$E$2:$U$57,0,MATCH($C16&amp;" [YR"&amp;$C16&amp;"]",02_RAW_DATA!$E$1:$U$1,0)),02_RAW_DATA!$B$2:$B$57,$B16,02_RAW_DATA!$D$2:$D$57,01_README!$C$31))</f>
        <v>152719215996.405</v>
      </c>
      <c r="I16" s="10" t="n">
        <f aca="false">IF(COUNTIFS(02_RAW_DATA!$B$2:$B$57,$B16,02_RAW_DATA!$D$2:$D$57,01_README!$C$32,INDEX(02_RAW_DATA!$E$2:$U$57,0,MATCH($C16&amp;" [YR"&amp;$C16&amp;"]",02_RAW_DATA!$E$1:$U$1,0)),"&gt;-1E+300")=0,"",SUMIFS(INDEX(02_RAW_DATA!$E$2:$U$57,0,MATCH($C16&amp;" [YR"&amp;$C16&amp;"]",02_RAW_DATA!$E$1:$U$1,0)),02_RAW_DATA!$B$2:$B$57,$B16,02_RAW_DATA!$D$2:$D$57,01_README!$C$32))</f>
        <v>159846246259.933</v>
      </c>
      <c r="J16" s="11" t="n">
        <f aca="false">IF(COUNTIFS(02_RAW_DATA!$B$2:$B$57,$B16,02_RAW_DATA!$D$2:$D$57,01_README!$C$33,INDEX(02_RAW_DATA!$E$2:$U$57,0,MATCH($C16&amp;" [YR"&amp;$C16&amp;"]",02_RAW_DATA!$E$1:$U$1,0)),"&gt;-1E+300")=0,"",SUMIFS(INDEX(02_RAW_DATA!$E$2:$U$57,0,MATCH($C16&amp;" [YR"&amp;$C16&amp;"]",02_RAW_DATA!$E$1:$U$1,0)),02_RAW_DATA!$B$2:$B$57,$B16,02_RAW_DATA!$D$2:$D$57,01_README!$C$33))</f>
        <v>76.1979120113902</v>
      </c>
      <c r="K16" s="11" t="n">
        <f aca="false">IF(COUNTIFS(02_RAW_DATA!$B$2:$B$57,$B16,02_RAW_DATA!$D$2:$D$57,01_README!$C$34,INDEX(02_RAW_DATA!$E$2:$U$57,0,MATCH($C16&amp;" [YR"&amp;$C16&amp;"]",02_RAW_DATA!$E$1:$U$1,0)),"&gt;-1E+300")=0,"",SUMIFS(INDEX(02_RAW_DATA!$E$2:$U$57,0,MATCH($C16&amp;" [YR"&amp;$C16&amp;"]",02_RAW_DATA!$E$1:$U$1,0)),02_RAW_DATA!$B$2:$B$57,$B16,02_RAW_DATA!$D$2:$D$57,01_README!$C$34))</f>
        <v>71.7287545266774</v>
      </c>
      <c r="L16" s="11" t="n">
        <f aca="false">IF(COUNTIFS(02_RAW_DATA!$B$2:$B$57,$B16,02_RAW_DATA!$D$2:$D$57,01_README!$C$35,INDEX(02_RAW_DATA!$E$2:$U$57,0,MATCH($C16&amp;" [YR"&amp;$C16&amp;"]",02_RAW_DATA!$E$1:$U$1,0)),"&gt;-1E+300")=0,"",SUMIFS(INDEX(02_RAW_DATA!$E$2:$U$57,0,MATCH($C16&amp;" [YR"&amp;$C16&amp;"]",02_RAW_DATA!$E$1:$U$1,0)),02_RAW_DATA!$B$2:$B$57,$B16,02_RAW_DATA!$D$2:$D$57,01_README!$C$35))</f>
        <v>147.926666538068</v>
      </c>
      <c r="M16" s="10" t="n">
        <f aca="false">IF(COUNTIFS(02_RAW_DATA!$B$2:$B$57,$B16,02_RAW_DATA!$D$2:$D$57,01_README!$C$36,INDEX(02_RAW_DATA!$E$2:$U$57,0,MATCH($C16&amp;" [YR"&amp;$C16&amp;"]",02_RAW_DATA!$E$1:$U$1,0)),"&gt;-1E+300")=0,"",SUMIFS(INDEX(02_RAW_DATA!$E$2:$U$57,0,MATCH($C16&amp;" [YR"&amp;$C16&amp;"]",02_RAW_DATA!$E$1:$U$1,0)),02_RAW_DATA!$B$2:$B$57,$B16,02_RAW_DATA!$D$2:$D$57,01_README!$C$36))</f>
        <v>-61303476151.5339</v>
      </c>
      <c r="N16" s="11" t="n">
        <f aca="false">IF(COUNTIFS(02_RAW_DATA!$B$2:$B$57,$B16,02_RAW_DATA!$D$2:$D$57,01_README!$C$37,INDEX(02_RAW_DATA!$E$2:$U$57,0,MATCH($C16&amp;" [YR"&amp;$C16&amp;"]",02_RAW_DATA!$E$1:$U$1,0)),"&gt;-1E+300")=0,"",SUMIFS(INDEX(02_RAW_DATA!$E$2:$U$57,0,MATCH($C16&amp;" [YR"&amp;$C16&amp;"]",02_RAW_DATA!$E$1:$U$1,0)),02_RAW_DATA!$B$2:$B$57,$B16,02_RAW_DATA!$D$2:$D$57,01_README!$C$37))</f>
        <v>-27.5090725956422</v>
      </c>
      <c r="O16" s="11" t="n">
        <f aca="false">IF(COUNTIFS(02_RAW_DATA!$B$2:$B$57,$B16,02_RAW_DATA!$D$2:$D$57,01_README!$C$38,INDEX(02_RAW_DATA!$E$2:$U$57,0,MATCH($C16&amp;" [YR"&amp;$C16&amp;"]",02_RAW_DATA!$E$1:$U$1,0)),"&gt;-1E+300")=0,"",SUMIFS(INDEX(02_RAW_DATA!$E$2:$U$57,0,MATCH($C16&amp;" [YR"&amp;$C16&amp;"]",02_RAW_DATA!$E$1:$U$1,0)),02_RAW_DATA!$B$2:$B$57,$B16,02_RAW_DATA!$D$2:$D$57,01_README!$C$38))</f>
        <v>15.8584652615689</v>
      </c>
      <c r="P16" s="11" t="n">
        <f aca="false">IF(COUNTIFS(02_RAW_DATA!$B$2:$B$57,$B16,02_RAW_DATA!$D$2:$D$57,01_README!$C$39,INDEX(02_RAW_DATA!$E$2:$U$57,0,MATCH($C16&amp;" [YR"&amp;$C16&amp;"]",02_RAW_DATA!$E$1:$U$1,0)),"&gt;-1E+300")=0,"",SUMIFS(INDEX(02_RAW_DATA!$E$2:$U$57,0,MATCH($C16&amp;" [YR"&amp;$C16&amp;"]",02_RAW_DATA!$E$1:$U$1,0)),02_RAW_DATA!$B$2:$B$57,$B16,02_RAW_DATA!$D$2:$D$57,01_README!$C$39))</f>
        <v>1.84213300452467</v>
      </c>
      <c r="Q16" s="10" t="n">
        <f aca="false">IF(COUNTIFS(02_RAW_DATA!$B$2:$B$57,$B16,02_RAW_DATA!$D$2:$D$57,01_README!$C$40,INDEX(02_RAW_DATA!$E$2:$U$57,0,MATCH($C16&amp;" [YR"&amp;$C16&amp;"]",02_RAW_DATA!$E$1:$U$1,0)),"&gt;-1E+300")=0,"",SUMIFS(INDEX(02_RAW_DATA!$E$2:$U$57,0,MATCH($C16&amp;" [YR"&amp;$C16&amp;"]",02_RAW_DATA!$E$1:$U$1,0)),02_RAW_DATA!$B$2:$B$57,$B16,02_RAW_DATA!$D$2:$D$57,01_README!$C$40))</f>
        <v>159268000000</v>
      </c>
    </row>
    <row r="17" customFormat="false" ht="15" hidden="false" customHeight="false" outlineLevel="0" collapsed="false">
      <c r="A17" s="8" t="s">
        <v>127</v>
      </c>
      <c r="B17" s="8" t="s">
        <v>128</v>
      </c>
      <c r="C17" s="8" t="n">
        <v>2025</v>
      </c>
      <c r="D17" s="10" t="n">
        <f aca="false">IF(COUNTIFS(02_RAW_DATA!$B$2:$B$57,$B17,02_RAW_DATA!$D$2:$D$57,01_README!$C$27,INDEX(02_RAW_DATA!$E$2:$U$57,0,MATCH($C17&amp;" [YR"&amp;$C17&amp;"]",02_RAW_DATA!$E$1:$U$1,0)),"&gt;-1E+300")=0,"",SUMIFS(INDEX(02_RAW_DATA!$E$2:$U$57,0,MATCH($C17&amp;" [YR"&amp;$C17&amp;"]",02_RAW_DATA!$E$1:$U$1,0)),02_RAW_DATA!$B$2:$B$57,$B17,02_RAW_DATA!$D$2:$D$57,01_README!$C$27))</f>
        <v>246490213513.054</v>
      </c>
      <c r="E17" s="11" t="n">
        <f aca="false">IF(COUNTIFS(02_RAW_DATA!$B$2:$B$57,$B17,02_RAW_DATA!$D$2:$D$57,01_README!$C$28,INDEX(02_RAW_DATA!$E$2:$U$57,0,MATCH($C17&amp;" [YR"&amp;$C17&amp;"]",02_RAW_DATA!$E$1:$U$1,0)),"&gt;-1E+300")=0,"",SUMIFS(INDEX(02_RAW_DATA!$E$2:$U$57,0,MATCH($C17&amp;" [YR"&amp;$C17&amp;"]",02_RAW_DATA!$E$1:$U$1,0)),02_RAW_DATA!$B$2:$B$57,$B17,02_RAW_DATA!$D$2:$D$57,01_README!$C$28))</f>
        <v>0.509542309726868</v>
      </c>
      <c r="F17" s="10" t="n">
        <f aca="false">IF(COUNTIFS(02_RAW_DATA!$B$2:$B$57,$B17,02_RAW_DATA!$D$2:$D$57,01_README!$C$29,INDEX(02_RAW_DATA!$E$2:$U$57,0,MATCH($C17&amp;" [YR"&amp;$C17&amp;"]",02_RAW_DATA!$E$1:$U$1,0)),"&gt;-1E+300")=0,"",SUMIFS(INDEX(02_RAW_DATA!$E$2:$U$57,0,MATCH($C17&amp;" [YR"&amp;$C17&amp;"]",02_RAW_DATA!$E$1:$U$1,0)),02_RAW_DATA!$B$2:$B$57,$B17,02_RAW_DATA!$D$2:$D$57,01_README!$C$29))</f>
        <v>25907.4743259406</v>
      </c>
      <c r="G17" s="10" t="n">
        <f aca="false">IF(COUNTIFS(02_RAW_DATA!$B$2:$B$57,$B17,02_RAW_DATA!$D$2:$D$57,01_README!$C$30,INDEX(02_RAW_DATA!$E$2:$U$57,0,MATCH($C17&amp;" [YR"&amp;$C17&amp;"]",02_RAW_DATA!$E$1:$U$1,0)),"&gt;-1E+300")=0,"",SUMIFS(INDEX(02_RAW_DATA!$E$2:$U$57,0,MATCH($C17&amp;" [YR"&amp;$C17&amp;"]",02_RAW_DATA!$E$1:$U$1,0)),02_RAW_DATA!$B$2:$B$57,$B17,02_RAW_DATA!$D$2:$D$57,01_README!$C$30))</f>
        <v>179026907175.624</v>
      </c>
      <c r="H17" s="10" t="n">
        <f aca="false">IF(COUNTIFS(02_RAW_DATA!$B$2:$B$57,$B17,02_RAW_DATA!$D$2:$D$57,01_README!$C$31,INDEX(02_RAW_DATA!$E$2:$U$57,0,MATCH($C17&amp;" [YR"&amp;$C17&amp;"]",02_RAW_DATA!$E$1:$U$1,0)),"&gt;-1E+300")=0,"",SUMIFS(INDEX(02_RAW_DATA!$E$2:$U$57,0,MATCH($C17&amp;" [YR"&amp;$C17&amp;"]",02_RAW_DATA!$E$1:$U$1,0)),02_RAW_DATA!$B$2:$B$57,$B17,02_RAW_DATA!$D$2:$D$57,01_README!$C$31))</f>
        <v>151065572346.846</v>
      </c>
      <c r="I17" s="10" t="n">
        <f aca="false">IF(COUNTIFS(02_RAW_DATA!$B$2:$B$57,$B17,02_RAW_DATA!$D$2:$D$57,01_README!$C$32,INDEX(02_RAW_DATA!$E$2:$U$57,0,MATCH($C17&amp;" [YR"&amp;$C17&amp;"]",02_RAW_DATA!$E$1:$U$1,0)),"&gt;-1E+300")=0,"",SUMIFS(INDEX(02_RAW_DATA!$E$2:$U$57,0,MATCH($C17&amp;" [YR"&amp;$C17&amp;"]",02_RAW_DATA!$E$1:$U$1,0)),02_RAW_DATA!$B$2:$B$57,$B17,02_RAW_DATA!$D$2:$D$57,01_README!$C$32))</f>
        <v>167980299597.893</v>
      </c>
      <c r="J17" s="11" t="n">
        <f aca="false">IF(COUNTIFS(02_RAW_DATA!$B$2:$B$57,$B17,02_RAW_DATA!$D$2:$D$57,01_README!$C$33,INDEX(02_RAW_DATA!$E$2:$U$57,0,MATCH($C17&amp;" [YR"&amp;$C17&amp;"]",02_RAW_DATA!$E$1:$U$1,0)),"&gt;-1E+300")=0,"",SUMIFS(INDEX(02_RAW_DATA!$E$2:$U$57,0,MATCH($C17&amp;" [YR"&amp;$C17&amp;"]",02_RAW_DATA!$E$1:$U$1,0)),02_RAW_DATA!$B$2:$B$57,$B17,02_RAW_DATA!$D$2:$D$57,01_README!$C$33))</f>
        <v>72.6304321068483</v>
      </c>
      <c r="K17" s="11" t="n">
        <f aca="false">IF(COUNTIFS(02_RAW_DATA!$B$2:$B$57,$B17,02_RAW_DATA!$D$2:$D$57,01_README!$C$34,INDEX(02_RAW_DATA!$E$2:$U$57,0,MATCH($C17&amp;" [YR"&amp;$C17&amp;"]",02_RAW_DATA!$E$1:$U$1,0)),"&gt;-1E+300")=0,"",SUMIFS(INDEX(02_RAW_DATA!$E$2:$U$57,0,MATCH($C17&amp;" [YR"&amp;$C17&amp;"]",02_RAW_DATA!$E$1:$U$1,0)),02_RAW_DATA!$B$2:$B$57,$B17,02_RAW_DATA!$D$2:$D$57,01_README!$C$34))</f>
        <v>68.1488717964849</v>
      </c>
      <c r="L17" s="11" t="n">
        <f aca="false">IF(COUNTIFS(02_RAW_DATA!$B$2:$B$57,$B17,02_RAW_DATA!$D$2:$D$57,01_README!$C$35,INDEX(02_RAW_DATA!$E$2:$U$57,0,MATCH($C17&amp;" [YR"&amp;$C17&amp;"]",02_RAW_DATA!$E$1:$U$1,0)),"&gt;-1E+300")=0,"",SUMIFS(INDEX(02_RAW_DATA!$E$2:$U$57,0,MATCH($C17&amp;" [YR"&amp;$C17&amp;"]",02_RAW_DATA!$E$1:$U$1,0)),02_RAW_DATA!$B$2:$B$57,$B17,02_RAW_DATA!$D$2:$D$57,01_README!$C$35))</f>
        <v>140.779303903333</v>
      </c>
      <c r="M17" s="10" t="n">
        <f aca="false">IF(COUNTIFS(02_RAW_DATA!$B$2:$B$57,$B17,02_RAW_DATA!$D$2:$D$57,01_README!$C$36,INDEX(02_RAW_DATA!$E$2:$U$57,0,MATCH($C17&amp;" [YR"&amp;$C17&amp;"]",02_RAW_DATA!$E$1:$U$1,0)),"&gt;-1E+300")=0,"",SUMIFS(INDEX(02_RAW_DATA!$E$2:$U$57,0,MATCH($C17&amp;" [YR"&amp;$C17&amp;"]",02_RAW_DATA!$E$1:$U$1,0)),02_RAW_DATA!$B$2:$B$57,$B17,02_RAW_DATA!$D$2:$D$57,01_README!$C$36))</f>
        <v>-69938246708.2487</v>
      </c>
      <c r="N17" s="11" t="n">
        <f aca="false">IF(COUNTIFS(02_RAW_DATA!$B$2:$B$57,$B17,02_RAW_DATA!$D$2:$D$57,01_README!$C$37,INDEX(02_RAW_DATA!$E$2:$U$57,0,MATCH($C17&amp;" [YR"&amp;$C17&amp;"]",02_RAW_DATA!$E$1:$U$1,0)),"&gt;-1E+300")=0,"",SUMIFS(INDEX(02_RAW_DATA!$E$2:$U$57,0,MATCH($C17&amp;" [YR"&amp;$C17&amp;"]",02_RAW_DATA!$E$1:$U$1,0)),02_RAW_DATA!$B$2:$B$57,$B17,02_RAW_DATA!$D$2:$D$57,01_README!$C$37))</f>
        <v>-28.3736403614031</v>
      </c>
      <c r="O17" s="11" t="n">
        <f aca="false">IF(COUNTIFS(02_RAW_DATA!$B$2:$B$57,$B17,02_RAW_DATA!$D$2:$D$57,01_README!$C$38,INDEX(02_RAW_DATA!$E$2:$U$57,0,MATCH($C17&amp;" [YR"&amp;$C17&amp;"]",02_RAW_DATA!$E$1:$U$1,0)),"&gt;-1E+300")=0,"",SUMIFS(INDEX(02_RAW_DATA!$E$2:$U$57,0,MATCH($C17&amp;" [YR"&amp;$C17&amp;"]",02_RAW_DATA!$E$1:$U$1,0)),02_RAW_DATA!$B$2:$B$57,$B17,02_RAW_DATA!$D$2:$D$57,01_README!$C$38))</f>
        <v>15.1438280236576</v>
      </c>
      <c r="P17" s="11" t="n">
        <f aca="false">IF(COUNTIFS(02_RAW_DATA!$B$2:$B$57,$B17,02_RAW_DATA!$D$2:$D$57,01_README!$C$39,INDEX(02_RAW_DATA!$E$2:$U$57,0,MATCH($C17&amp;" [YR"&amp;$C17&amp;"]",02_RAW_DATA!$E$1:$U$1,0)),"&gt;-1E+300")=0,"",SUMIFS(INDEX(02_RAW_DATA!$E$2:$U$57,0,MATCH($C17&amp;" [YR"&amp;$C17&amp;"]",02_RAW_DATA!$E$1:$U$1,0)),02_RAW_DATA!$B$2:$B$57,$B17,02_RAW_DATA!$D$2:$D$57,01_README!$C$39))</f>
        <v>1.6548423815673</v>
      </c>
      <c r="Q17" s="10" t="n">
        <f aca="false">IF(COUNTIFS(02_RAW_DATA!$B$2:$B$57,$B17,02_RAW_DATA!$D$2:$D$57,01_README!$C$40,INDEX(02_RAW_DATA!$E$2:$U$57,0,MATCH($C17&amp;" [YR"&amp;$C17&amp;"]",02_RAW_DATA!$E$1:$U$1,0)),"&gt;-1E+300")=0,"",SUMIFS(INDEX(02_RAW_DATA!$E$2:$U$57,0,MATCH($C17&amp;" [YR"&amp;$C17&amp;"]",02_RAW_DATA!$E$1:$U$1,0)),02_RAW_DATA!$B$2:$B$57,$B17,02_RAW_DATA!$D$2:$D$57,01_README!$C$40))</f>
        <v>168841000000</v>
      </c>
    </row>
    <row r="18" customFormat="false" ht="15" hidden="false" customHeight="false" outlineLevel="0" collapsed="false">
      <c r="A18" s="8" t="s">
        <v>129</v>
      </c>
      <c r="B18" s="8" t="s">
        <v>130</v>
      </c>
      <c r="C18" s="8" t="n">
        <v>2010</v>
      </c>
      <c r="D18" s="10" t="n">
        <f aca="false">IF(COUNTIFS(02_RAW_DATA!$B$2:$B$57,$B18,02_RAW_DATA!$D$2:$D$57,01_README!$C$27,INDEX(02_RAW_DATA!$E$2:$U$57,0,MATCH($C18&amp;" [YR"&amp;$C18&amp;"]",02_RAW_DATA!$E$1:$U$1,0)),"&gt;-1E+300")=0,"",SUMIFS(INDEX(02_RAW_DATA!$E$2:$U$57,0,MATCH($C18&amp;" [YR"&amp;$C18&amp;"]",02_RAW_DATA!$E$1:$U$1,0)),02_RAW_DATA!$B$2:$B$57,$B18,02_RAW_DATA!$D$2:$D$57,01_README!$C$27))</f>
        <v>478111630683.514</v>
      </c>
      <c r="E18" s="11" t="n">
        <f aca="false">IF(COUNTIFS(02_RAW_DATA!$B$2:$B$57,$B18,02_RAW_DATA!$D$2:$D$57,01_README!$C$28,INDEX(02_RAW_DATA!$E$2:$U$57,0,MATCH($C18&amp;" [YR"&amp;$C18&amp;"]",02_RAW_DATA!$E$1:$U$1,0)),"&gt;-1E+300")=0,"",SUMIFS(INDEX(02_RAW_DATA!$E$2:$U$57,0,MATCH($C18&amp;" [YR"&amp;$C18&amp;"]",02_RAW_DATA!$E$1:$U$1,0)),02_RAW_DATA!$B$2:$B$57,$B18,02_RAW_DATA!$D$2:$D$57,01_README!$C$28))</f>
        <v>3.16892748258036</v>
      </c>
      <c r="F18" s="10" t="n">
        <f aca="false">IF(COUNTIFS(02_RAW_DATA!$B$2:$B$57,$B18,02_RAW_DATA!$D$2:$D$57,01_README!$C$29,INDEX(02_RAW_DATA!$E$2:$U$57,0,MATCH($C18&amp;" [YR"&amp;$C18&amp;"]",02_RAW_DATA!$E$1:$U$1,0)),"&gt;-1E+300")=0,"",SUMIFS(INDEX(02_RAW_DATA!$E$2:$U$57,0,MATCH($C18&amp;" [YR"&amp;$C18&amp;"]",02_RAW_DATA!$E$1:$U$1,0)),02_RAW_DATA!$B$2:$B$57,$B18,02_RAW_DATA!$D$2:$D$57,01_README!$C$29))</f>
        <v>12567.7317676382</v>
      </c>
      <c r="G18" s="10" t="n">
        <f aca="false">IF(COUNTIFS(02_RAW_DATA!$B$2:$B$57,$B18,02_RAW_DATA!$D$2:$D$57,01_README!$C$30,INDEX(02_RAW_DATA!$E$2:$U$57,0,MATCH($C18&amp;" [YR"&amp;$C18&amp;"]",02_RAW_DATA!$E$1:$U$1,0)),"&gt;-1E+300")=0,"",SUMIFS(INDEX(02_RAW_DATA!$E$2:$U$57,0,MATCH($C18&amp;" [YR"&amp;$C18&amp;"]",02_RAW_DATA!$E$1:$U$1,0)),02_RAW_DATA!$B$2:$B$57,$B18,02_RAW_DATA!$D$2:$D$57,01_README!$C$30))</f>
        <v>190729280668.59</v>
      </c>
      <c r="H18" s="10" t="n">
        <f aca="false">IF(COUNTIFS(02_RAW_DATA!$B$2:$B$57,$B18,02_RAW_DATA!$D$2:$D$57,01_README!$C$31,INDEX(02_RAW_DATA!$E$2:$U$57,0,MATCH($C18&amp;" [YR"&amp;$C18&amp;"]",02_RAW_DATA!$E$1:$U$1,0)),"&gt;-1E+300")=0,"",SUMIFS(INDEX(02_RAW_DATA!$E$2:$U$57,0,MATCH($C18&amp;" [YR"&amp;$C18&amp;"]",02_RAW_DATA!$E$1:$U$1,0)),02_RAW_DATA!$B$2:$B$57,$B18,02_RAW_DATA!$D$2:$D$57,01_README!$C$31))</f>
        <v>171122907547.42</v>
      </c>
      <c r="I18" s="10" t="n">
        <f aca="false">IF(COUNTIFS(02_RAW_DATA!$B$2:$B$57,$B18,02_RAW_DATA!$D$2:$D$57,01_README!$C$32,INDEX(02_RAW_DATA!$E$2:$U$57,0,MATCH($C18&amp;" [YR"&amp;$C18&amp;"]",02_RAW_DATA!$E$1:$U$1,0)),"&gt;-1E+300")=0,"",SUMIFS(INDEX(02_RAW_DATA!$E$2:$U$57,0,MATCH($C18&amp;" [YR"&amp;$C18&amp;"]",02_RAW_DATA!$E$1:$U$1,0)),02_RAW_DATA!$B$2:$B$57,$B18,02_RAW_DATA!$D$2:$D$57,01_README!$C$32))</f>
        <v>202402082711.505</v>
      </c>
      <c r="J18" s="11" t="n">
        <f aca="false">IF(COUNTIFS(02_RAW_DATA!$B$2:$B$57,$B18,02_RAW_DATA!$D$2:$D$57,01_README!$C$33,INDEX(02_RAW_DATA!$E$2:$U$57,0,MATCH($C18&amp;" [YR"&amp;$C18&amp;"]",02_RAW_DATA!$E$1:$U$1,0)),"&gt;-1E+300")=0,"",SUMIFS(INDEX(02_RAW_DATA!$E$2:$U$57,0,MATCH($C18&amp;" [YR"&amp;$C18&amp;"]",02_RAW_DATA!$E$1:$U$1,0)),02_RAW_DATA!$B$2:$B$57,$B18,02_RAW_DATA!$D$2:$D$57,01_README!$C$33))</f>
        <v>39.8922068463219</v>
      </c>
      <c r="K18" s="11" t="n">
        <f aca="false">IF(COUNTIFS(02_RAW_DATA!$B$2:$B$57,$B18,02_RAW_DATA!$D$2:$D$57,01_README!$C$34,INDEX(02_RAW_DATA!$E$2:$U$57,0,MATCH($C18&amp;" [YR"&amp;$C18&amp;"]",02_RAW_DATA!$E$1:$U$1,0)),"&gt;-1E+300")=0,"",SUMIFS(INDEX(02_RAW_DATA!$E$2:$U$57,0,MATCH($C18&amp;" [YR"&amp;$C18&amp;"]",02_RAW_DATA!$E$1:$U$1,0)),02_RAW_DATA!$B$2:$B$57,$B18,02_RAW_DATA!$D$2:$D$57,01_README!$C$34))</f>
        <v>42.3336454756702</v>
      </c>
      <c r="L18" s="11" t="n">
        <f aca="false">IF(COUNTIFS(02_RAW_DATA!$B$2:$B$57,$B18,02_RAW_DATA!$D$2:$D$57,01_README!$C$35,INDEX(02_RAW_DATA!$E$2:$U$57,0,MATCH($C18&amp;" [YR"&amp;$C18&amp;"]",02_RAW_DATA!$E$1:$U$1,0)),"&gt;-1E+300")=0,"",SUMIFS(INDEX(02_RAW_DATA!$E$2:$U$57,0,MATCH($C18&amp;" [YR"&amp;$C18&amp;"]",02_RAW_DATA!$E$1:$U$1,0)),02_RAW_DATA!$B$2:$B$57,$B18,02_RAW_DATA!$D$2:$D$57,01_README!$C$35))</f>
        <v>82.2258523219922</v>
      </c>
      <c r="M18" s="10" t="n">
        <f aca="false">IF(COUNTIFS(02_RAW_DATA!$B$2:$B$57,$B18,02_RAW_DATA!$D$2:$D$57,01_README!$C$36,INDEX(02_RAW_DATA!$E$2:$U$57,0,MATCH($C18&amp;" [YR"&amp;$C18&amp;"]",02_RAW_DATA!$E$1:$U$1,0)),"&gt;-1E+300")=0,"",SUMIFS(INDEX(02_RAW_DATA!$E$2:$U$57,0,MATCH($C18&amp;" [YR"&amp;$C18&amp;"]",02_RAW_DATA!$E$1:$U$1,0)),02_RAW_DATA!$B$2:$B$57,$B18,02_RAW_DATA!$D$2:$D$57,01_README!$C$36))</f>
        <v>18861000000</v>
      </c>
      <c r="N18" s="11" t="n">
        <f aca="false">IF(COUNTIFS(02_RAW_DATA!$B$2:$B$57,$B18,02_RAW_DATA!$D$2:$D$57,01_README!$C$37,INDEX(02_RAW_DATA!$E$2:$U$57,0,MATCH($C18&amp;" [YR"&amp;$C18&amp;"]",02_RAW_DATA!$E$1:$U$1,0)),"&gt;-1E+300")=0,"",SUMIFS(INDEX(02_RAW_DATA!$E$2:$U$57,0,MATCH($C18&amp;" [YR"&amp;$C18&amp;"]",02_RAW_DATA!$E$1:$U$1,0)),02_RAW_DATA!$B$2:$B$57,$B18,02_RAW_DATA!$D$2:$D$57,01_README!$C$37))</f>
        <v>3.94489462074706</v>
      </c>
      <c r="O18" s="11" t="n">
        <f aca="false">IF(COUNTIFS(02_RAW_DATA!$B$2:$B$57,$B18,02_RAW_DATA!$D$2:$D$57,01_README!$C$38,INDEX(02_RAW_DATA!$E$2:$U$57,0,MATCH($C18&amp;" [YR"&amp;$C18&amp;"]",02_RAW_DATA!$E$1:$U$1,0)),"&gt;-1E+300")=0,"",SUMIFS(INDEX(02_RAW_DATA!$E$2:$U$57,0,MATCH($C18&amp;" [YR"&amp;$C18&amp;"]",02_RAW_DATA!$E$1:$U$1,0)),02_RAW_DATA!$B$2:$B$57,$B18,02_RAW_DATA!$D$2:$D$57,01_README!$C$38))</f>
        <v>16.1698747962404</v>
      </c>
      <c r="P18" s="11" t="n">
        <f aca="false">IF(COUNTIFS(02_RAW_DATA!$B$2:$B$57,$B18,02_RAW_DATA!$D$2:$D$57,01_README!$C$39,INDEX(02_RAW_DATA!$E$2:$U$57,0,MATCH($C18&amp;" [YR"&amp;$C18&amp;"]",02_RAW_DATA!$E$1:$U$1,0)),"&gt;-1E+300")=0,"",SUMIFS(INDEX(02_RAW_DATA!$E$2:$U$57,0,MATCH($C18&amp;" [YR"&amp;$C18&amp;"]",02_RAW_DATA!$E$1:$U$1,0)),02_RAW_DATA!$B$2:$B$57,$B18,02_RAW_DATA!$D$2:$D$57,01_README!$C$39))</f>
        <v>-5.16657584018312</v>
      </c>
      <c r="Q18" s="10" t="n">
        <f aca="false">IF(COUNTIFS(02_RAW_DATA!$B$2:$B$57,$B18,02_RAW_DATA!$D$2:$D$57,01_README!$C$40,INDEX(02_RAW_DATA!$E$2:$U$57,0,MATCH($C18&amp;" [YR"&amp;$C18&amp;"]",02_RAW_DATA!$E$1:$U$1,0)),"&gt;-1E+300")=0,"",SUMIFS(INDEX(02_RAW_DATA!$E$2:$U$57,0,MATCH($C18&amp;" [YR"&amp;$C18&amp;"]",02_RAW_DATA!$E$1:$U$1,0)),02_RAW_DATA!$B$2:$B$57,$B18,02_RAW_DATA!$D$2:$D$57,01_README!$C$40))</f>
        <v>159724000000</v>
      </c>
    </row>
    <row r="19" customFormat="false" ht="15" hidden="false" customHeight="false" outlineLevel="0" collapsed="false">
      <c r="A19" s="8" t="s">
        <v>129</v>
      </c>
      <c r="B19" s="8" t="s">
        <v>130</v>
      </c>
      <c r="C19" s="8" t="n">
        <v>2011</v>
      </c>
      <c r="D19" s="10" t="n">
        <f aca="false">IF(COUNTIFS(02_RAW_DATA!$B$2:$B$57,$B19,02_RAW_DATA!$D$2:$D$57,01_README!$C$27,INDEX(02_RAW_DATA!$E$2:$U$57,0,MATCH($C19&amp;" [YR"&amp;$C19&amp;"]",02_RAW_DATA!$E$1:$U$1,0)),"&gt;-1E+300")=0,"",SUMIFS(INDEX(02_RAW_DATA!$E$2:$U$57,0,MATCH($C19&amp;" [YR"&amp;$C19&amp;"]",02_RAW_DATA!$E$1:$U$1,0)),02_RAW_DATA!$B$2:$B$57,$B19,02_RAW_DATA!$D$2:$D$57,01_README!$C$27))</f>
        <v>527848543023.469</v>
      </c>
      <c r="E19" s="11" t="n">
        <f aca="false">IF(COUNTIFS(02_RAW_DATA!$B$2:$B$57,$B19,02_RAW_DATA!$D$2:$D$57,01_README!$C$28,INDEX(02_RAW_DATA!$E$2:$U$57,0,MATCH($C19&amp;" [YR"&amp;$C19&amp;"]",02_RAW_DATA!$E$1:$U$1,0)),"&gt;-1E+300")=0,"",SUMIFS(INDEX(02_RAW_DATA!$E$2:$U$57,0,MATCH($C19&amp;" [YR"&amp;$C19&amp;"]",02_RAW_DATA!$E$1:$U$1,0)),02_RAW_DATA!$B$2:$B$57,$B19,02_RAW_DATA!$D$2:$D$57,01_README!$C$28))</f>
        <v>5.25546256612796</v>
      </c>
      <c r="F19" s="10" t="n">
        <f aca="false">IF(COUNTIFS(02_RAW_DATA!$B$2:$B$57,$B19,02_RAW_DATA!$D$2:$D$57,01_README!$C$29,INDEX(02_RAW_DATA!$E$2:$U$57,0,MATCH($C19&amp;" [YR"&amp;$C19&amp;"]",02_RAW_DATA!$E$1:$U$1,0)),"&gt;-1E+300")=0,"",SUMIFS(INDEX(02_RAW_DATA!$E$2:$U$57,0,MATCH($C19&amp;" [YR"&amp;$C19&amp;"]",02_RAW_DATA!$E$1:$U$1,0)),02_RAW_DATA!$B$2:$B$57,$B19,02_RAW_DATA!$D$2:$D$57,01_README!$C$29))</f>
        <v>13867.6669408192</v>
      </c>
      <c r="G19" s="10" t="n">
        <f aca="false">IF(COUNTIFS(02_RAW_DATA!$B$2:$B$57,$B19,02_RAW_DATA!$D$2:$D$57,01_README!$C$30,INDEX(02_RAW_DATA!$E$2:$U$57,0,MATCH($C19&amp;" [YR"&amp;$C19&amp;"]",02_RAW_DATA!$E$1:$U$1,0)),"&gt;-1E+300")=0,"",SUMIFS(INDEX(02_RAW_DATA!$E$2:$U$57,0,MATCH($C19&amp;" [YR"&amp;$C19&amp;"]",02_RAW_DATA!$E$1:$U$1,0)),02_RAW_DATA!$B$2:$B$57,$B19,02_RAW_DATA!$D$2:$D$57,01_README!$C$30))</f>
        <v>223375954487.034</v>
      </c>
      <c r="H19" s="10" t="n">
        <f aca="false">IF(COUNTIFS(02_RAW_DATA!$B$2:$B$57,$B19,02_RAW_DATA!$D$2:$D$57,01_README!$C$31,INDEX(02_RAW_DATA!$E$2:$U$57,0,MATCH($C19&amp;" [YR"&amp;$C19&amp;"]",02_RAW_DATA!$E$1:$U$1,0)),"&gt;-1E+300")=0,"",SUMIFS(INDEX(02_RAW_DATA!$E$2:$U$57,0,MATCH($C19&amp;" [YR"&amp;$C19&amp;"]",02_RAW_DATA!$E$1:$U$1,0)),02_RAW_DATA!$B$2:$B$57,$B19,02_RAW_DATA!$D$2:$D$57,01_README!$C$31))</f>
        <v>184376362912.853</v>
      </c>
      <c r="I19" s="10" t="n">
        <f aca="false">IF(COUNTIFS(02_RAW_DATA!$B$2:$B$57,$B19,02_RAW_DATA!$D$2:$D$57,01_README!$C$32,INDEX(02_RAW_DATA!$E$2:$U$57,0,MATCH($C19&amp;" [YR"&amp;$C19&amp;"]",02_RAW_DATA!$E$1:$U$1,0)),"&gt;-1E+300")=0,"",SUMIFS(INDEX(02_RAW_DATA!$E$2:$U$57,0,MATCH($C19&amp;" [YR"&amp;$C19&amp;"]",02_RAW_DATA!$E$1:$U$1,0)),02_RAW_DATA!$B$2:$B$57,$B19,02_RAW_DATA!$D$2:$D$57,01_README!$C$32))</f>
        <v>235449472939.55</v>
      </c>
      <c r="J19" s="11" t="n">
        <f aca="false">IF(COUNTIFS(02_RAW_DATA!$B$2:$B$57,$B19,02_RAW_DATA!$D$2:$D$57,01_README!$C$33,INDEX(02_RAW_DATA!$E$2:$U$57,0,MATCH($C19&amp;" [YR"&amp;$C19&amp;"]",02_RAW_DATA!$E$1:$U$1,0)),"&gt;-1E+300")=0,"",SUMIFS(INDEX(02_RAW_DATA!$E$2:$U$57,0,MATCH($C19&amp;" [YR"&amp;$C19&amp;"]",02_RAW_DATA!$E$1:$U$1,0)),02_RAW_DATA!$B$2:$B$57,$B19,02_RAW_DATA!$D$2:$D$57,01_README!$C$33))</f>
        <v>42.31819097341</v>
      </c>
      <c r="K19" s="11" t="n">
        <f aca="false">IF(COUNTIFS(02_RAW_DATA!$B$2:$B$57,$B19,02_RAW_DATA!$D$2:$D$57,01_README!$C$34,INDEX(02_RAW_DATA!$E$2:$U$57,0,MATCH($C19&amp;" [YR"&amp;$C19&amp;"]",02_RAW_DATA!$E$1:$U$1,0)),"&gt;-1E+300")=0,"",SUMIFS(INDEX(02_RAW_DATA!$E$2:$U$57,0,MATCH($C19&amp;" [YR"&amp;$C19&amp;"]",02_RAW_DATA!$E$1:$U$1,0)),02_RAW_DATA!$B$2:$B$57,$B19,02_RAW_DATA!$D$2:$D$57,01_README!$C$34))</f>
        <v>44.6054983103518</v>
      </c>
      <c r="L19" s="11" t="n">
        <f aca="false">IF(COUNTIFS(02_RAW_DATA!$B$2:$B$57,$B19,02_RAW_DATA!$D$2:$D$57,01_README!$C$35,INDEX(02_RAW_DATA!$E$2:$U$57,0,MATCH($C19&amp;" [YR"&amp;$C19&amp;"]",02_RAW_DATA!$E$1:$U$1,0)),"&gt;-1E+300")=0,"",SUMIFS(INDEX(02_RAW_DATA!$E$2:$U$57,0,MATCH($C19&amp;" [YR"&amp;$C19&amp;"]",02_RAW_DATA!$E$1:$U$1,0)),02_RAW_DATA!$B$2:$B$57,$B19,02_RAW_DATA!$D$2:$D$57,01_README!$C$35))</f>
        <v>86.9236892837618</v>
      </c>
      <c r="M19" s="10" t="n">
        <f aca="false">IF(COUNTIFS(02_RAW_DATA!$B$2:$B$57,$B19,02_RAW_DATA!$D$2:$D$57,01_README!$C$36,INDEX(02_RAW_DATA!$E$2:$U$57,0,MATCH($C19&amp;" [YR"&amp;$C19&amp;"]",02_RAW_DATA!$E$1:$U$1,0)),"&gt;-1E+300")=0,"",SUMIFS(INDEX(02_RAW_DATA!$E$2:$U$57,0,MATCH($C19&amp;" [YR"&amp;$C19&amp;"]",02_RAW_DATA!$E$1:$U$1,0)),02_RAW_DATA!$B$2:$B$57,$B19,02_RAW_DATA!$D$2:$D$57,01_README!$C$36))</f>
        <v>18851000000</v>
      </c>
      <c r="N19" s="11" t="n">
        <f aca="false">IF(COUNTIFS(02_RAW_DATA!$B$2:$B$57,$B19,02_RAW_DATA!$D$2:$D$57,01_README!$C$37,INDEX(02_RAW_DATA!$E$2:$U$57,0,MATCH($C19&amp;" [YR"&amp;$C19&amp;"]",02_RAW_DATA!$E$1:$U$1,0)),"&gt;-1E+300")=0,"",SUMIFS(INDEX(02_RAW_DATA!$E$2:$U$57,0,MATCH($C19&amp;" [YR"&amp;$C19&amp;"]",02_RAW_DATA!$E$1:$U$1,0)),02_RAW_DATA!$B$2:$B$57,$B19,02_RAW_DATA!$D$2:$D$57,01_README!$C$37))</f>
        <v>3.57128957712437</v>
      </c>
      <c r="O19" s="11" t="n">
        <f aca="false">IF(COUNTIFS(02_RAW_DATA!$B$2:$B$57,$B19,02_RAW_DATA!$D$2:$D$57,01_README!$C$38,INDEX(02_RAW_DATA!$E$2:$U$57,0,MATCH($C19&amp;" [YR"&amp;$C19&amp;"]",02_RAW_DATA!$E$1:$U$1,0)),"&gt;-1E+300")=0,"",SUMIFS(INDEX(02_RAW_DATA!$E$2:$U$57,0,MATCH($C19&amp;" [YR"&amp;$C19&amp;"]",02_RAW_DATA!$E$1:$U$1,0)),02_RAW_DATA!$B$2:$B$57,$B19,02_RAW_DATA!$D$2:$D$57,01_README!$C$38))</f>
        <v>16.1389060287032</v>
      </c>
      <c r="P19" s="11" t="n">
        <f aca="false">IF(COUNTIFS(02_RAW_DATA!$B$2:$B$57,$B19,02_RAW_DATA!$D$2:$D$57,01_README!$C$39,INDEX(02_RAW_DATA!$E$2:$U$57,0,MATCH($C19&amp;" [YR"&amp;$C19&amp;"]",02_RAW_DATA!$E$1:$U$1,0)),"&gt;-1E+300")=0,"",SUMIFS(INDEX(02_RAW_DATA!$E$2:$U$57,0,MATCH($C19&amp;" [YR"&amp;$C19&amp;"]",02_RAW_DATA!$E$1:$U$1,0)),02_RAW_DATA!$B$2:$B$57,$B19,02_RAW_DATA!$D$2:$D$57,01_README!$C$39))</f>
        <v>-5.11055687403888</v>
      </c>
      <c r="Q19" s="10" t="n">
        <f aca="false">IF(COUNTIFS(02_RAW_DATA!$B$2:$B$57,$B19,02_RAW_DATA!$D$2:$D$57,01_README!$C$40,INDEX(02_RAW_DATA!$E$2:$U$57,0,MATCH($C19&amp;" [YR"&amp;$C19&amp;"]",02_RAW_DATA!$E$1:$U$1,0)),"&gt;-1E+300")=0,"",SUMIFS(INDEX(02_RAW_DATA!$E$2:$U$57,0,MATCH($C19&amp;" [YR"&amp;$C19&amp;"]",02_RAW_DATA!$E$1:$U$1,0)),02_RAW_DATA!$B$2:$B$57,$B19,02_RAW_DATA!$D$2:$D$57,01_README!$C$40))</f>
        <v>188696000000</v>
      </c>
    </row>
    <row r="20" customFormat="false" ht="15" hidden="false" customHeight="false" outlineLevel="0" collapsed="false">
      <c r="A20" s="8" t="s">
        <v>129</v>
      </c>
      <c r="B20" s="8" t="s">
        <v>130</v>
      </c>
      <c r="C20" s="8" t="n">
        <v>2012</v>
      </c>
      <c r="D20" s="10" t="n">
        <f aca="false">IF(COUNTIFS(02_RAW_DATA!$B$2:$B$57,$B20,02_RAW_DATA!$D$2:$D$57,01_README!$C$27,INDEX(02_RAW_DATA!$E$2:$U$57,0,MATCH($C20&amp;" [YR"&amp;$C20&amp;"]",02_RAW_DATA!$E$1:$U$1,0)),"&gt;-1E+300")=0,"",SUMIFS(INDEX(02_RAW_DATA!$E$2:$U$57,0,MATCH($C20&amp;" [YR"&amp;$C20&amp;"]",02_RAW_DATA!$E$1:$U$1,0)),02_RAW_DATA!$B$2:$B$57,$B20,02_RAW_DATA!$D$2:$D$57,01_README!$C$27))</f>
        <v>498148649702.66</v>
      </c>
      <c r="E20" s="11" t="n">
        <f aca="false">IF(COUNTIFS(02_RAW_DATA!$B$2:$B$57,$B20,02_RAW_DATA!$D$2:$D$57,01_README!$C$28,INDEX(02_RAW_DATA!$E$2:$U$57,0,MATCH($C20&amp;" [YR"&amp;$C20&amp;"]",02_RAW_DATA!$E$1:$U$1,0)),"&gt;-1E+300")=0,"",SUMIFS(INDEX(02_RAW_DATA!$E$2:$U$57,0,MATCH($C20&amp;" [YR"&amp;$C20&amp;"]",02_RAW_DATA!$E$1:$U$1,0)),02_RAW_DATA!$B$2:$B$57,$B20,02_RAW_DATA!$D$2:$D$57,01_README!$C$28))</f>
        <v>1.51178167644575</v>
      </c>
      <c r="F20" s="10" t="n">
        <f aca="false">IF(COUNTIFS(02_RAW_DATA!$B$2:$B$57,$B20,02_RAW_DATA!$D$2:$D$57,01_README!$C$29,INDEX(02_RAW_DATA!$E$2:$U$57,0,MATCH($C20&amp;" [YR"&amp;$C20&amp;"]",02_RAW_DATA!$E$1:$U$1,0)),"&gt;-1E+300")=0,"",SUMIFS(INDEX(02_RAW_DATA!$E$2:$U$57,0,MATCH($C20&amp;" [YR"&amp;$C20&amp;"]",02_RAW_DATA!$E$1:$U$1,0)),02_RAW_DATA!$B$2:$B$57,$B20,02_RAW_DATA!$D$2:$D$57,01_README!$C$29))</f>
        <v>13087.420943321</v>
      </c>
      <c r="G20" s="10" t="n">
        <f aca="false">IF(COUNTIFS(02_RAW_DATA!$B$2:$B$57,$B20,02_RAW_DATA!$D$2:$D$57,01_README!$C$30,INDEX(02_RAW_DATA!$E$2:$U$57,0,MATCH($C20&amp;" [YR"&amp;$C20&amp;"]",02_RAW_DATA!$E$1:$U$1,0)),"&gt;-1E+300")=0,"",SUMIFS(INDEX(02_RAW_DATA!$E$2:$U$57,0,MATCH($C20&amp;" [YR"&amp;$C20&amp;"]",02_RAW_DATA!$E$1:$U$1,0)),02_RAW_DATA!$B$2:$B$57,$B20,02_RAW_DATA!$D$2:$D$57,01_README!$C$30))</f>
        <v>219299490072.598</v>
      </c>
      <c r="H20" s="10" t="n">
        <f aca="false">IF(COUNTIFS(02_RAW_DATA!$B$2:$B$57,$B20,02_RAW_DATA!$D$2:$D$57,01_README!$C$31,INDEX(02_RAW_DATA!$E$2:$U$57,0,MATCH($C20&amp;" [YR"&amp;$C20&amp;"]",02_RAW_DATA!$E$1:$U$1,0)),"&gt;-1E+300")=0,"",SUMIFS(INDEX(02_RAW_DATA!$E$2:$U$57,0,MATCH($C20&amp;" [YR"&amp;$C20&amp;"]",02_RAW_DATA!$E$1:$U$1,0)),02_RAW_DATA!$B$2:$B$57,$B20,02_RAW_DATA!$D$2:$D$57,01_README!$C$31))</f>
        <v>191603926250.166</v>
      </c>
      <c r="I20" s="10" t="n">
        <f aca="false">IF(COUNTIFS(02_RAW_DATA!$B$2:$B$57,$B20,02_RAW_DATA!$D$2:$D$57,01_README!$C$32,INDEX(02_RAW_DATA!$E$2:$U$57,0,MATCH($C20&amp;" [YR"&amp;$C20&amp;"]",02_RAW_DATA!$E$1:$U$1,0)),"&gt;-1E+300")=0,"",SUMIFS(INDEX(02_RAW_DATA!$E$2:$U$57,0,MATCH($C20&amp;" [YR"&amp;$C20&amp;"]",02_RAW_DATA!$E$1:$U$1,0)),02_RAW_DATA!$B$2:$B$57,$B20,02_RAW_DATA!$D$2:$D$57,01_README!$C$32))</f>
        <v>223205473781.698</v>
      </c>
      <c r="J20" s="11" t="n">
        <f aca="false">IF(COUNTIFS(02_RAW_DATA!$B$2:$B$57,$B20,02_RAW_DATA!$D$2:$D$57,01_README!$C$33,INDEX(02_RAW_DATA!$E$2:$U$57,0,MATCH($C20&amp;" [YR"&amp;$C20&amp;"]",02_RAW_DATA!$E$1:$U$1,0)),"&gt;-1E+300")=0,"",SUMIFS(INDEX(02_RAW_DATA!$E$2:$U$57,0,MATCH($C20&amp;" [YR"&amp;$C20&amp;"]",02_RAW_DATA!$E$1:$U$1,0)),02_RAW_DATA!$B$2:$B$57,$B20,02_RAW_DATA!$D$2:$D$57,01_README!$C$33))</f>
        <v>44.0229016385965</v>
      </c>
      <c r="K20" s="11" t="n">
        <f aca="false">IF(COUNTIFS(02_RAW_DATA!$B$2:$B$57,$B20,02_RAW_DATA!$D$2:$D$57,01_README!$C$34,INDEX(02_RAW_DATA!$E$2:$U$57,0,MATCH($C20&amp;" [YR"&amp;$C20&amp;"]",02_RAW_DATA!$E$1:$U$1,0)),"&gt;-1E+300")=0,"",SUMIFS(INDEX(02_RAW_DATA!$E$2:$U$57,0,MATCH($C20&amp;" [YR"&amp;$C20&amp;"]",02_RAW_DATA!$E$1:$U$1,0)),02_RAW_DATA!$B$2:$B$57,$B20,02_RAW_DATA!$D$2:$D$57,01_README!$C$34))</f>
        <v>44.8070016680619</v>
      </c>
      <c r="L20" s="11" t="n">
        <f aca="false">IF(COUNTIFS(02_RAW_DATA!$B$2:$B$57,$B20,02_RAW_DATA!$D$2:$D$57,01_README!$C$35,INDEX(02_RAW_DATA!$E$2:$U$57,0,MATCH($C20&amp;" [YR"&amp;$C20&amp;"]",02_RAW_DATA!$E$1:$U$1,0)),"&gt;-1E+300")=0,"",SUMIFS(INDEX(02_RAW_DATA!$E$2:$U$57,0,MATCH($C20&amp;" [YR"&amp;$C20&amp;"]",02_RAW_DATA!$E$1:$U$1,0)),02_RAW_DATA!$B$2:$B$57,$B20,02_RAW_DATA!$D$2:$D$57,01_README!$C$35))</f>
        <v>88.8299033066583</v>
      </c>
      <c r="M20" s="10" t="n">
        <f aca="false">IF(COUNTIFS(02_RAW_DATA!$B$2:$B$57,$B20,02_RAW_DATA!$D$2:$D$57,01_README!$C$36,INDEX(02_RAW_DATA!$E$2:$U$57,0,MATCH($C20&amp;" [YR"&amp;$C20&amp;"]",02_RAW_DATA!$E$1:$U$1,0)),"&gt;-1E+300")=0,"",SUMIFS(INDEX(02_RAW_DATA!$E$2:$U$57,0,MATCH($C20&amp;" [YR"&amp;$C20&amp;"]",02_RAW_DATA!$E$1:$U$1,0)),02_RAW_DATA!$B$2:$B$57,$B20,02_RAW_DATA!$D$2:$D$57,01_README!$C$36))</f>
        <v>7616000000</v>
      </c>
      <c r="N20" s="11" t="n">
        <f aca="false">IF(COUNTIFS(02_RAW_DATA!$B$2:$B$57,$B20,02_RAW_DATA!$D$2:$D$57,01_README!$C$37,INDEX(02_RAW_DATA!$E$2:$U$57,0,MATCH($C20&amp;" [YR"&amp;$C20&amp;"]",02_RAW_DATA!$E$1:$U$1,0)),"&gt;-1E+300")=0,"",SUMIFS(INDEX(02_RAW_DATA!$E$2:$U$57,0,MATCH($C20&amp;" [YR"&amp;$C20&amp;"]",02_RAW_DATA!$E$1:$U$1,0)),02_RAW_DATA!$B$2:$B$57,$B20,02_RAW_DATA!$D$2:$D$57,01_README!$C$37))</f>
        <v>1.52886091421625</v>
      </c>
      <c r="O20" s="11" t="n">
        <f aca="false">IF(COUNTIFS(02_RAW_DATA!$B$2:$B$57,$B20,02_RAW_DATA!$D$2:$D$57,01_README!$C$38,INDEX(02_RAW_DATA!$E$2:$U$57,0,MATCH($C20&amp;" [YR"&amp;$C20&amp;"]",02_RAW_DATA!$E$1:$U$1,0)),"&gt;-1E+300")=0,"",SUMIFS(INDEX(02_RAW_DATA!$E$2:$U$57,0,MATCH($C20&amp;" [YR"&amp;$C20&amp;"]",02_RAW_DATA!$E$1:$U$1,0)),02_RAW_DATA!$B$2:$B$57,$B20,02_RAW_DATA!$D$2:$D$57,01_README!$C$38))</f>
        <v>16.5564693800308</v>
      </c>
      <c r="P20" s="11" t="n">
        <f aca="false">IF(COUNTIFS(02_RAW_DATA!$B$2:$B$57,$B20,02_RAW_DATA!$D$2:$D$57,01_README!$C$39,INDEX(02_RAW_DATA!$E$2:$U$57,0,MATCH($C20&amp;" [YR"&amp;$C20&amp;"]",02_RAW_DATA!$E$1:$U$1,0)),"&gt;-1E+300")=0,"",SUMIFS(INDEX(02_RAW_DATA!$E$2:$U$57,0,MATCH($C20&amp;" [YR"&amp;$C20&amp;"]",02_RAW_DATA!$E$1:$U$1,0)),02_RAW_DATA!$B$2:$B$57,$B20,02_RAW_DATA!$D$2:$D$57,01_README!$C$39))</f>
        <v>-4.11182485634079</v>
      </c>
      <c r="Q20" s="10" t="n">
        <f aca="false">IF(COUNTIFS(02_RAW_DATA!$B$2:$B$57,$B20,02_RAW_DATA!$D$2:$D$57,01_README!$C$40,INDEX(02_RAW_DATA!$E$2:$U$57,0,MATCH($C20&amp;" [YR"&amp;$C20&amp;"]",02_RAW_DATA!$E$1:$U$1,0)),"&gt;-1E+300")=0,"",SUMIFS(INDEX(02_RAW_DATA!$E$2:$U$57,0,MATCH($C20&amp;" [YR"&amp;$C20&amp;"]",02_RAW_DATA!$E$1:$U$1,0)),02_RAW_DATA!$B$2:$B$57,$B20,02_RAW_DATA!$D$2:$D$57,01_README!$C$40))</f>
        <v>185374000000</v>
      </c>
    </row>
    <row r="21" customFormat="false" ht="15" hidden="false" customHeight="false" outlineLevel="0" collapsed="false">
      <c r="A21" s="8" t="s">
        <v>129</v>
      </c>
      <c r="B21" s="8" t="s">
        <v>130</v>
      </c>
      <c r="C21" s="8" t="n">
        <v>2013</v>
      </c>
      <c r="D21" s="10" t="n">
        <f aca="false">IF(COUNTIFS(02_RAW_DATA!$B$2:$B$57,$B21,02_RAW_DATA!$D$2:$D$57,01_README!$C$27,INDEX(02_RAW_DATA!$E$2:$U$57,0,MATCH($C21&amp;" [YR"&amp;$C21&amp;"]",02_RAW_DATA!$E$1:$U$1,0)),"&gt;-1E+300")=0,"",SUMIFS(INDEX(02_RAW_DATA!$E$2:$U$57,0,MATCH($C21&amp;" [YR"&amp;$C21&amp;"]",02_RAW_DATA!$E$1:$U$1,0)),02_RAW_DATA!$B$2:$B$57,$B21,02_RAW_DATA!$D$2:$D$57,01_README!$C$27))</f>
        <v>518179836405.36</v>
      </c>
      <c r="E21" s="11" t="n">
        <f aca="false">IF(COUNTIFS(02_RAW_DATA!$B$2:$B$57,$B21,02_RAW_DATA!$D$2:$D$57,01_README!$C$28,INDEX(02_RAW_DATA!$E$2:$U$57,0,MATCH($C21&amp;" [YR"&amp;$C21&amp;"]",02_RAW_DATA!$E$1:$U$1,0)),"&gt;-1E+300")=0,"",SUMIFS(INDEX(02_RAW_DATA!$E$2:$U$57,0,MATCH($C21&amp;" [YR"&amp;$C21&amp;"]",02_RAW_DATA!$E$1:$U$1,0)),02_RAW_DATA!$B$2:$B$57,$B21,02_RAW_DATA!$D$2:$D$57,01_README!$C$28))</f>
        <v>0.684240607051805</v>
      </c>
      <c r="F21" s="10" t="n">
        <f aca="false">IF(COUNTIFS(02_RAW_DATA!$B$2:$B$57,$B21,02_RAW_DATA!$D$2:$D$57,01_README!$C$29,INDEX(02_RAW_DATA!$E$2:$U$57,0,MATCH($C21&amp;" [YR"&amp;$C21&amp;"]",02_RAW_DATA!$E$1:$U$1,0)),"&gt;-1E+300")=0,"",SUMIFS(INDEX(02_RAW_DATA!$E$2:$U$57,0,MATCH($C21&amp;" [YR"&amp;$C21&amp;"]",02_RAW_DATA!$E$1:$U$1,0)),02_RAW_DATA!$B$2:$B$57,$B21,02_RAW_DATA!$D$2:$D$57,01_README!$C$29))</f>
        <v>13621.9023794031</v>
      </c>
      <c r="G21" s="10" t="n">
        <f aca="false">IF(COUNTIFS(02_RAW_DATA!$B$2:$B$57,$B21,02_RAW_DATA!$D$2:$D$57,01_README!$C$30,INDEX(02_RAW_DATA!$E$2:$U$57,0,MATCH($C21&amp;" [YR"&amp;$C21&amp;"]",02_RAW_DATA!$E$1:$U$1,0)),"&gt;-1E+300")=0,"",SUMIFS(INDEX(02_RAW_DATA!$E$2:$U$57,0,MATCH($C21&amp;" [YR"&amp;$C21&amp;"]",02_RAW_DATA!$E$1:$U$1,0)),02_RAW_DATA!$B$2:$B$57,$B21,02_RAW_DATA!$D$2:$D$57,01_README!$C$30))</f>
        <v>237156858929.76</v>
      </c>
      <c r="H21" s="10" t="n">
        <f aca="false">IF(COUNTIFS(02_RAW_DATA!$B$2:$B$57,$B21,02_RAW_DATA!$D$2:$D$57,01_README!$C$31,INDEX(02_RAW_DATA!$E$2:$U$57,0,MATCH($C21&amp;" [YR"&amp;$C21&amp;"]",02_RAW_DATA!$E$1:$U$1,0)),"&gt;-1E+300")=0,"",SUMIFS(INDEX(02_RAW_DATA!$E$2:$U$57,0,MATCH($C21&amp;" [YR"&amp;$C21&amp;"]",02_RAW_DATA!$E$1:$U$1,0)),02_RAW_DATA!$B$2:$B$57,$B21,02_RAW_DATA!$D$2:$D$57,01_README!$C$31))</f>
        <v>201300039793.076</v>
      </c>
      <c r="I21" s="10" t="n">
        <f aca="false">IF(COUNTIFS(02_RAW_DATA!$B$2:$B$57,$B21,02_RAW_DATA!$D$2:$D$57,01_README!$C$32,INDEX(02_RAW_DATA!$E$2:$U$57,0,MATCH($C21&amp;" [YR"&amp;$C21&amp;"]",02_RAW_DATA!$E$1:$U$1,0)),"&gt;-1E+300")=0,"",SUMIFS(INDEX(02_RAW_DATA!$E$2:$U$57,0,MATCH($C21&amp;" [YR"&amp;$C21&amp;"]",02_RAW_DATA!$E$1:$U$1,0)),02_RAW_DATA!$B$2:$B$57,$B21,02_RAW_DATA!$D$2:$D$57,01_README!$C$32))</f>
        <v>231368432176.376</v>
      </c>
      <c r="J21" s="11" t="n">
        <f aca="false">IF(COUNTIFS(02_RAW_DATA!$B$2:$B$57,$B21,02_RAW_DATA!$D$2:$D$57,01_README!$C$33,INDEX(02_RAW_DATA!$E$2:$U$57,0,MATCH($C21&amp;" [YR"&amp;$C21&amp;"]",02_RAW_DATA!$E$1:$U$1,0)),"&gt;-1E+300")=0,"",SUMIFS(INDEX(02_RAW_DATA!$E$2:$U$57,0,MATCH($C21&amp;" [YR"&amp;$C21&amp;"]",02_RAW_DATA!$E$1:$U$1,0)),02_RAW_DATA!$B$2:$B$57,$B21,02_RAW_DATA!$D$2:$D$57,01_README!$C$33))</f>
        <v>45.7672881629144</v>
      </c>
      <c r="K21" s="11" t="n">
        <f aca="false">IF(COUNTIFS(02_RAW_DATA!$B$2:$B$57,$B21,02_RAW_DATA!$D$2:$D$57,01_README!$C$34,INDEX(02_RAW_DATA!$E$2:$U$57,0,MATCH($C21&amp;" [YR"&amp;$C21&amp;"]",02_RAW_DATA!$E$1:$U$1,0)),"&gt;-1E+300")=0,"",SUMIFS(INDEX(02_RAW_DATA!$E$2:$U$57,0,MATCH($C21&amp;" [YR"&amp;$C21&amp;"]",02_RAW_DATA!$E$1:$U$1,0)),02_RAW_DATA!$B$2:$B$57,$B21,02_RAW_DATA!$D$2:$D$57,01_README!$C$34))</f>
        <v>44.6502190786485</v>
      </c>
      <c r="L21" s="11" t="n">
        <f aca="false">IF(COUNTIFS(02_RAW_DATA!$B$2:$B$57,$B21,02_RAW_DATA!$D$2:$D$57,01_README!$C$35,INDEX(02_RAW_DATA!$E$2:$U$57,0,MATCH($C21&amp;" [YR"&amp;$C21&amp;"]",02_RAW_DATA!$E$1:$U$1,0)),"&gt;-1E+300")=0,"",SUMIFS(INDEX(02_RAW_DATA!$E$2:$U$57,0,MATCH($C21&amp;" [YR"&amp;$C21&amp;"]",02_RAW_DATA!$E$1:$U$1,0)),02_RAW_DATA!$B$2:$B$57,$B21,02_RAW_DATA!$D$2:$D$57,01_README!$C$35))</f>
        <v>90.4175072415629</v>
      </c>
      <c r="M21" s="10" t="n">
        <f aca="false">IF(COUNTIFS(02_RAW_DATA!$B$2:$B$57,$B21,02_RAW_DATA!$D$2:$D$57,01_README!$C$36,INDEX(02_RAW_DATA!$E$2:$U$57,0,MATCH($C21&amp;" [YR"&amp;$C21&amp;"]",02_RAW_DATA!$E$1:$U$1,0)),"&gt;-1E+300")=0,"",SUMIFS(INDEX(02_RAW_DATA!$E$2:$U$57,0,MATCH($C21&amp;" [YR"&amp;$C21&amp;"]",02_RAW_DATA!$E$1:$U$1,0)),02_RAW_DATA!$B$2:$B$57,$B21,02_RAW_DATA!$D$2:$D$57,01_README!$C$36))</f>
        <v>1342000000</v>
      </c>
      <c r="N21" s="11" t="n">
        <f aca="false">IF(COUNTIFS(02_RAW_DATA!$B$2:$B$57,$B21,02_RAW_DATA!$D$2:$D$57,01_README!$C$37,INDEX(02_RAW_DATA!$E$2:$U$57,0,MATCH($C21&amp;" [YR"&amp;$C21&amp;"]",02_RAW_DATA!$E$1:$U$1,0)),"&gt;-1E+300")=0,"",SUMIFS(INDEX(02_RAW_DATA!$E$2:$U$57,0,MATCH($C21&amp;" [YR"&amp;$C21&amp;"]",02_RAW_DATA!$E$1:$U$1,0)),02_RAW_DATA!$B$2:$B$57,$B21,02_RAW_DATA!$D$2:$D$57,01_README!$C$37))</f>
        <v>0.258983446617592</v>
      </c>
      <c r="O21" s="11" t="n">
        <f aca="false">IF(COUNTIFS(02_RAW_DATA!$B$2:$B$57,$B21,02_RAW_DATA!$D$2:$D$57,01_README!$C$38,INDEX(02_RAW_DATA!$E$2:$U$57,0,MATCH($C21&amp;" [YR"&amp;$C21&amp;"]",02_RAW_DATA!$E$1:$U$1,0)),"&gt;-1E+300")=0,"",SUMIFS(INDEX(02_RAW_DATA!$E$2:$U$57,0,MATCH($C21&amp;" [YR"&amp;$C21&amp;"]",02_RAW_DATA!$E$1:$U$1,0)),02_RAW_DATA!$B$2:$B$57,$B21,02_RAW_DATA!$D$2:$D$57,01_README!$C$38))</f>
        <v>15.5581865074907</v>
      </c>
      <c r="P21" s="11" t="n">
        <f aca="false">IF(COUNTIFS(02_RAW_DATA!$B$2:$B$57,$B21,02_RAW_DATA!$D$2:$D$57,01_README!$C$39,INDEX(02_RAW_DATA!$E$2:$U$57,0,MATCH($C21&amp;" [YR"&amp;$C21&amp;"]",02_RAW_DATA!$E$1:$U$1,0)),"&gt;-1E+300")=0,"",SUMIFS(INDEX(02_RAW_DATA!$E$2:$U$57,0,MATCH($C21&amp;" [YR"&amp;$C21&amp;"]",02_RAW_DATA!$E$1:$U$1,0)),02_RAW_DATA!$B$2:$B$57,$B21,02_RAW_DATA!$D$2:$D$57,01_README!$C$39))</f>
        <v>-1.98155143805472</v>
      </c>
      <c r="Q21" s="10" t="n">
        <f aca="false">IF(COUNTIFS(02_RAW_DATA!$B$2:$B$57,$B21,02_RAW_DATA!$D$2:$D$57,01_README!$C$40,INDEX(02_RAW_DATA!$E$2:$U$57,0,MATCH($C21&amp;" [YR"&amp;$C21&amp;"]",02_RAW_DATA!$E$1:$U$1,0)),"&gt;-1E+300")=0,"",SUMIFS(INDEX(02_RAW_DATA!$E$2:$U$57,0,MATCH($C21&amp;" [YR"&amp;$C21&amp;"]",02_RAW_DATA!$E$1:$U$1,0)),02_RAW_DATA!$B$2:$B$57,$B21,02_RAW_DATA!$D$2:$D$57,01_README!$C$40))</f>
        <v>204984000000</v>
      </c>
    </row>
    <row r="22" customFormat="false" ht="15" hidden="false" customHeight="false" outlineLevel="0" collapsed="false">
      <c r="A22" s="8" t="s">
        <v>129</v>
      </c>
      <c r="B22" s="8" t="s">
        <v>130</v>
      </c>
      <c r="C22" s="8" t="n">
        <v>2014</v>
      </c>
      <c r="D22" s="10" t="n">
        <f aca="false">IF(COUNTIFS(02_RAW_DATA!$B$2:$B$57,$B22,02_RAW_DATA!$D$2:$D$57,01_README!$C$27,INDEX(02_RAW_DATA!$E$2:$U$57,0,MATCH($C22&amp;" [YR"&amp;$C22&amp;"]",02_RAW_DATA!$E$1:$U$1,0)),"&gt;-1E+300")=0,"",SUMIFS(INDEX(02_RAW_DATA!$E$2:$U$57,0,MATCH($C22&amp;" [YR"&amp;$C22&amp;"]",02_RAW_DATA!$E$1:$U$1,0)),02_RAW_DATA!$B$2:$B$57,$B22,02_RAW_DATA!$D$2:$D$57,01_README!$C$27))</f>
        <v>542134167178.627</v>
      </c>
      <c r="E22" s="11" t="n">
        <f aca="false">IF(COUNTIFS(02_RAW_DATA!$B$2:$B$57,$B22,02_RAW_DATA!$D$2:$D$57,01_README!$C$28,INDEX(02_RAW_DATA!$E$2:$U$57,0,MATCH($C22&amp;" [YR"&amp;$C22&amp;"]",02_RAW_DATA!$E$1:$U$1,0)),"&gt;-1E+300")=0,"",SUMIFS(INDEX(02_RAW_DATA!$E$2:$U$57,0,MATCH($C22&amp;" [YR"&amp;$C22&amp;"]",02_RAW_DATA!$E$1:$U$1,0)),02_RAW_DATA!$B$2:$B$57,$B22,02_RAW_DATA!$D$2:$D$57,01_README!$C$28))</f>
        <v>3.92050862390032</v>
      </c>
      <c r="F22" s="10" t="n">
        <f aca="false">IF(COUNTIFS(02_RAW_DATA!$B$2:$B$57,$B22,02_RAW_DATA!$D$2:$D$57,01_README!$C$29,INDEX(02_RAW_DATA!$E$2:$U$57,0,MATCH($C22&amp;" [YR"&amp;$C22&amp;"]",02_RAW_DATA!$E$1:$U$1,0)),"&gt;-1E+300")=0,"",SUMIFS(INDEX(02_RAW_DATA!$E$2:$U$57,0,MATCH($C22&amp;" [YR"&amp;$C22&amp;"]",02_RAW_DATA!$E$1:$U$1,0)),02_RAW_DATA!$B$2:$B$57,$B22,02_RAW_DATA!$D$2:$D$57,01_README!$C$29))</f>
        <v>14262.2841914116</v>
      </c>
      <c r="G22" s="10" t="n">
        <f aca="false">IF(COUNTIFS(02_RAW_DATA!$B$2:$B$57,$B22,02_RAW_DATA!$D$2:$D$57,01_README!$C$30,INDEX(02_RAW_DATA!$E$2:$U$57,0,MATCH($C22&amp;" [YR"&amp;$C22&amp;"]",02_RAW_DATA!$E$1:$U$1,0)),"&gt;-1E+300")=0,"",SUMIFS(INDEX(02_RAW_DATA!$E$2:$U$57,0,MATCH($C22&amp;" [YR"&amp;$C22&amp;"]",02_RAW_DATA!$E$1:$U$1,0)),02_RAW_DATA!$B$2:$B$57,$B22,02_RAW_DATA!$D$2:$D$57,01_README!$C$30))</f>
        <v>250578055388.072</v>
      </c>
      <c r="H22" s="10" t="n">
        <f aca="false">IF(COUNTIFS(02_RAW_DATA!$B$2:$B$57,$B22,02_RAW_DATA!$D$2:$D$57,01_README!$C$31,INDEX(02_RAW_DATA!$E$2:$U$57,0,MATCH($C22&amp;" [YR"&amp;$C22&amp;"]",02_RAW_DATA!$E$1:$U$1,0)),"&gt;-1E+300")=0,"",SUMIFS(INDEX(02_RAW_DATA!$E$2:$U$57,0,MATCH($C22&amp;" [YR"&amp;$C22&amp;"]",02_RAW_DATA!$E$1:$U$1,0)),02_RAW_DATA!$B$2:$B$57,$B22,02_RAW_DATA!$D$2:$D$57,01_README!$C$31))</f>
        <v>212366706459.743</v>
      </c>
      <c r="I22" s="10" t="n">
        <f aca="false">IF(COUNTIFS(02_RAW_DATA!$B$2:$B$57,$B22,02_RAW_DATA!$D$2:$D$57,01_README!$C$32,INDEX(02_RAW_DATA!$E$2:$U$57,0,MATCH($C22&amp;" [YR"&amp;$C22&amp;"]",02_RAW_DATA!$E$1:$U$1,0)),"&gt;-1E+300")=0,"",SUMIFS(INDEX(02_RAW_DATA!$E$2:$U$57,0,MATCH($C22&amp;" [YR"&amp;$C22&amp;"]",02_RAW_DATA!$E$1:$U$1,0)),02_RAW_DATA!$B$2:$B$57,$B22,02_RAW_DATA!$D$2:$D$57,01_README!$C$32))</f>
        <v>248369810894.894</v>
      </c>
      <c r="J22" s="11" t="n">
        <f aca="false">IF(COUNTIFS(02_RAW_DATA!$B$2:$B$57,$B22,02_RAW_DATA!$D$2:$D$57,01_README!$C$33,INDEX(02_RAW_DATA!$E$2:$U$57,0,MATCH($C22&amp;" [YR"&amp;$C22&amp;"]",02_RAW_DATA!$E$1:$U$1,0)),"&gt;-1E+300")=0,"",SUMIFS(INDEX(02_RAW_DATA!$E$2:$U$57,0,MATCH($C22&amp;" [YR"&amp;$C22&amp;"]",02_RAW_DATA!$E$1:$U$1,0)),02_RAW_DATA!$B$2:$B$57,$B22,02_RAW_DATA!$D$2:$D$57,01_README!$C$33))</f>
        <v>46.2206720325579</v>
      </c>
      <c r="K22" s="11" t="n">
        <f aca="false">IF(COUNTIFS(02_RAW_DATA!$B$2:$B$57,$B22,02_RAW_DATA!$D$2:$D$57,01_README!$C$34,INDEX(02_RAW_DATA!$E$2:$U$57,0,MATCH($C22&amp;" [YR"&amp;$C22&amp;"]",02_RAW_DATA!$E$1:$U$1,0)),"&gt;-1E+300")=0,"",SUMIFS(INDEX(02_RAW_DATA!$E$2:$U$57,0,MATCH($C22&amp;" [YR"&amp;$C22&amp;"]",02_RAW_DATA!$E$1:$U$1,0)),02_RAW_DATA!$B$2:$B$57,$B22,02_RAW_DATA!$D$2:$D$57,01_README!$C$34))</f>
        <v>45.8133476787599</v>
      </c>
      <c r="L22" s="11" t="n">
        <f aca="false">IF(COUNTIFS(02_RAW_DATA!$B$2:$B$57,$B22,02_RAW_DATA!$D$2:$D$57,01_README!$C$35,INDEX(02_RAW_DATA!$E$2:$U$57,0,MATCH($C22&amp;" [YR"&amp;$C22&amp;"]",02_RAW_DATA!$E$1:$U$1,0)),"&gt;-1E+300")=0,"",SUMIFS(INDEX(02_RAW_DATA!$E$2:$U$57,0,MATCH($C22&amp;" [YR"&amp;$C22&amp;"]",02_RAW_DATA!$E$1:$U$1,0)),02_RAW_DATA!$B$2:$B$57,$B22,02_RAW_DATA!$D$2:$D$57,01_README!$C$35))</f>
        <v>92.0340197113178</v>
      </c>
      <c r="M22" s="10" t="n">
        <f aca="false">IF(COUNTIFS(02_RAW_DATA!$B$2:$B$57,$B22,02_RAW_DATA!$D$2:$D$57,01_README!$C$36,INDEX(02_RAW_DATA!$E$2:$U$57,0,MATCH($C22&amp;" [YR"&amp;$C22&amp;"]",02_RAW_DATA!$E$1:$U$1,0)),"&gt;-1E+300")=0,"",SUMIFS(INDEX(02_RAW_DATA!$E$2:$U$57,0,MATCH($C22&amp;" [YR"&amp;$C22&amp;"]",02_RAW_DATA!$E$1:$U$1,0)),02_RAW_DATA!$B$2:$B$57,$B22,02_RAW_DATA!$D$2:$D$57,01_README!$C$36))</f>
        <v>20877000000</v>
      </c>
      <c r="N22" s="11" t="n">
        <f aca="false">IF(COUNTIFS(02_RAW_DATA!$B$2:$B$57,$B22,02_RAW_DATA!$D$2:$D$57,01_README!$C$37,INDEX(02_RAW_DATA!$E$2:$U$57,0,MATCH($C22&amp;" [YR"&amp;$C22&amp;"]",02_RAW_DATA!$E$1:$U$1,0)),"&gt;-1E+300")=0,"",SUMIFS(INDEX(02_RAW_DATA!$E$2:$U$57,0,MATCH($C22&amp;" [YR"&amp;$C22&amp;"]",02_RAW_DATA!$E$1:$U$1,0)),02_RAW_DATA!$B$2:$B$57,$B22,02_RAW_DATA!$D$2:$D$57,01_README!$C$37))</f>
        <v>3.85089176515991</v>
      </c>
      <c r="O22" s="11" t="n">
        <f aca="false">IF(COUNTIFS(02_RAW_DATA!$B$2:$B$57,$B22,02_RAW_DATA!$D$2:$D$57,01_README!$C$38,INDEX(02_RAW_DATA!$E$2:$U$57,0,MATCH($C22&amp;" [YR"&amp;$C22&amp;"]",02_RAW_DATA!$E$1:$U$1,0)),"&gt;-1E+300")=0,"",SUMIFS(INDEX(02_RAW_DATA!$E$2:$U$57,0,MATCH($C22&amp;" [YR"&amp;$C22&amp;"]",02_RAW_DATA!$E$1:$U$1,0)),02_RAW_DATA!$B$2:$B$57,$B22,02_RAW_DATA!$D$2:$D$57,01_README!$C$38))</f>
        <v>16.9081122802504</v>
      </c>
      <c r="P22" s="11" t="n">
        <f aca="false">IF(COUNTIFS(02_RAW_DATA!$B$2:$B$57,$B22,02_RAW_DATA!$D$2:$D$57,01_README!$C$39,INDEX(02_RAW_DATA!$E$2:$U$57,0,MATCH($C22&amp;" [YR"&amp;$C22&amp;"]",02_RAW_DATA!$E$1:$U$1,0)),"&gt;-1E+300")=0,"",SUMIFS(INDEX(02_RAW_DATA!$E$2:$U$57,0,MATCH($C22&amp;" [YR"&amp;$C22&amp;"]",02_RAW_DATA!$E$1:$U$1,0)),02_RAW_DATA!$B$2:$B$57,$B22,02_RAW_DATA!$D$2:$D$57,01_README!$C$39))</f>
        <v>-2.97288032663133</v>
      </c>
      <c r="Q22" s="10" t="n">
        <f aca="false">IF(COUNTIFS(02_RAW_DATA!$B$2:$B$57,$B22,02_RAW_DATA!$D$2:$D$57,01_README!$C$40,INDEX(02_RAW_DATA!$E$2:$U$57,0,MATCH($C22&amp;" [YR"&amp;$C22&amp;"]",02_RAW_DATA!$E$1:$U$1,0)),"&gt;-1E+300")=0,"",SUMIFS(INDEX(02_RAW_DATA!$E$2:$U$57,0,MATCH($C22&amp;" [YR"&amp;$C22&amp;"]",02_RAW_DATA!$E$1:$U$1,0)),02_RAW_DATA!$B$2:$B$57,$B22,02_RAW_DATA!$D$2:$D$57,01_README!$C$40))</f>
        <v>220052000000</v>
      </c>
    </row>
    <row r="23" customFormat="false" ht="15" hidden="false" customHeight="false" outlineLevel="0" collapsed="false">
      <c r="A23" s="8" t="s">
        <v>129</v>
      </c>
      <c r="B23" s="8" t="s">
        <v>130</v>
      </c>
      <c r="C23" s="8" t="n">
        <v>2015</v>
      </c>
      <c r="D23" s="10" t="n">
        <f aca="false">IF(COUNTIFS(02_RAW_DATA!$B$2:$B$57,$B23,02_RAW_DATA!$D$2:$D$57,01_README!$C$27,INDEX(02_RAW_DATA!$E$2:$U$57,0,MATCH($C23&amp;" [YR"&amp;$C23&amp;"]",02_RAW_DATA!$E$1:$U$1,0)),"&gt;-1E+300")=0,"",SUMIFS(INDEX(02_RAW_DATA!$E$2:$U$57,0,MATCH($C23&amp;" [YR"&amp;$C23&amp;"]",02_RAW_DATA!$E$1:$U$1,0)),02_RAW_DATA!$B$2:$B$57,$B23,02_RAW_DATA!$D$2:$D$57,01_README!$C$27))</f>
        <v>480054118583.367</v>
      </c>
      <c r="E23" s="11" t="n">
        <f aca="false">IF(COUNTIFS(02_RAW_DATA!$B$2:$B$57,$B23,02_RAW_DATA!$D$2:$D$57,01_README!$C$28,INDEX(02_RAW_DATA!$E$2:$U$57,0,MATCH($C23&amp;" [YR"&amp;$C23&amp;"]",02_RAW_DATA!$E$1:$U$1,0)),"&gt;-1E+300")=0,"",SUMIFS(INDEX(02_RAW_DATA!$E$2:$U$57,0,MATCH($C23&amp;" [YR"&amp;$C23&amp;"]",02_RAW_DATA!$E$1:$U$1,0)),02_RAW_DATA!$B$2:$B$57,$B23,02_RAW_DATA!$D$2:$D$57,01_README!$C$28))</f>
        <v>4.43176700264478</v>
      </c>
      <c r="F23" s="10" t="n">
        <f aca="false">IF(COUNTIFS(02_RAW_DATA!$B$2:$B$57,$B23,02_RAW_DATA!$D$2:$D$57,01_README!$C$29,INDEX(02_RAW_DATA!$E$2:$U$57,0,MATCH($C23&amp;" [YR"&amp;$C23&amp;"]",02_RAW_DATA!$E$1:$U$1,0)),"&gt;-1E+300")=0,"",SUMIFS(INDEX(02_RAW_DATA!$E$2:$U$57,0,MATCH($C23&amp;" [YR"&amp;$C23&amp;"]",02_RAW_DATA!$E$1:$U$1,0)),02_RAW_DATA!$B$2:$B$57,$B23,02_RAW_DATA!$D$2:$D$57,01_README!$C$29))</f>
        <v>12637.5220324406</v>
      </c>
      <c r="G23" s="10" t="n">
        <f aca="false">IF(COUNTIFS(02_RAW_DATA!$B$2:$B$57,$B23,02_RAW_DATA!$D$2:$D$57,01_README!$C$30,INDEX(02_RAW_DATA!$E$2:$U$57,0,MATCH($C23&amp;" [YR"&amp;$C23&amp;"]",02_RAW_DATA!$E$1:$U$1,0)),"&gt;-1E+300")=0,"",SUMIFS(INDEX(02_RAW_DATA!$E$2:$U$57,0,MATCH($C23&amp;" [YR"&amp;$C23&amp;"]",02_RAW_DATA!$E$1:$U$1,0)),02_RAW_DATA!$B$2:$B$57,$B23,02_RAW_DATA!$D$2:$D$57,01_README!$C$30))</f>
        <v>226401379493.302</v>
      </c>
      <c r="H23" s="10" t="n">
        <f aca="false">IF(COUNTIFS(02_RAW_DATA!$B$2:$B$57,$B23,02_RAW_DATA!$D$2:$D$57,01_README!$C$31,INDEX(02_RAW_DATA!$E$2:$U$57,0,MATCH($C23&amp;" [YR"&amp;$C23&amp;"]",02_RAW_DATA!$E$1:$U$1,0)),"&gt;-1E+300")=0,"",SUMIFS(INDEX(02_RAW_DATA!$E$2:$U$57,0,MATCH($C23&amp;" [YR"&amp;$C23&amp;"]",02_RAW_DATA!$E$1:$U$1,0)),02_RAW_DATA!$B$2:$B$57,$B23,02_RAW_DATA!$D$2:$D$57,01_README!$C$31))</f>
        <v>226401379493.302</v>
      </c>
      <c r="I23" s="10" t="n">
        <f aca="false">IF(COUNTIFS(02_RAW_DATA!$B$2:$B$57,$B23,02_RAW_DATA!$D$2:$D$57,01_README!$C$32,INDEX(02_RAW_DATA!$E$2:$U$57,0,MATCH($C23&amp;" [YR"&amp;$C23&amp;"]",02_RAW_DATA!$E$1:$U$1,0)),"&gt;-1E+300")=0,"",SUMIFS(INDEX(02_RAW_DATA!$E$2:$U$57,0,MATCH($C23&amp;" [YR"&amp;$C23&amp;"]",02_RAW_DATA!$E$1:$U$1,0)),02_RAW_DATA!$B$2:$B$57,$B23,02_RAW_DATA!$D$2:$D$57,01_README!$C$32))</f>
        <v>216474598753.15</v>
      </c>
      <c r="J23" s="11" t="n">
        <f aca="false">IF(COUNTIFS(02_RAW_DATA!$B$2:$B$57,$B23,02_RAW_DATA!$D$2:$D$57,01_README!$C$33,INDEX(02_RAW_DATA!$E$2:$U$57,0,MATCH($C23&amp;" [YR"&amp;$C23&amp;"]",02_RAW_DATA!$E$1:$U$1,0)),"&gt;-1E+300")=0,"",SUMIFS(INDEX(02_RAW_DATA!$E$2:$U$57,0,MATCH($C23&amp;" [YR"&amp;$C23&amp;"]",02_RAW_DATA!$E$1:$U$1,0)),02_RAW_DATA!$B$2:$B$57,$B23,02_RAW_DATA!$D$2:$D$57,01_README!$C$33))</f>
        <v>47.1616367257527</v>
      </c>
      <c r="K23" s="11" t="n">
        <f aca="false">IF(COUNTIFS(02_RAW_DATA!$B$2:$B$57,$B23,02_RAW_DATA!$D$2:$D$57,01_README!$C$34,INDEX(02_RAW_DATA!$E$2:$U$57,0,MATCH($C23&amp;" [YR"&amp;$C23&amp;"]",02_RAW_DATA!$E$1:$U$1,0)),"&gt;-1E+300")=0,"",SUMIFS(INDEX(02_RAW_DATA!$E$2:$U$57,0,MATCH($C23&amp;" [YR"&amp;$C23&amp;"]",02_RAW_DATA!$E$1:$U$1,0)),02_RAW_DATA!$B$2:$B$57,$B23,02_RAW_DATA!$D$2:$D$57,01_README!$C$34))</f>
        <v>45.0937905484415</v>
      </c>
      <c r="L23" s="11" t="n">
        <f aca="false">IF(COUNTIFS(02_RAW_DATA!$B$2:$B$57,$B23,02_RAW_DATA!$D$2:$D$57,01_README!$C$35,INDEX(02_RAW_DATA!$E$2:$U$57,0,MATCH($C23&amp;" [YR"&amp;$C23&amp;"]",02_RAW_DATA!$E$1:$U$1,0)),"&gt;-1E+300")=0,"",SUMIFS(INDEX(02_RAW_DATA!$E$2:$U$57,0,MATCH($C23&amp;" [YR"&amp;$C23&amp;"]",02_RAW_DATA!$E$1:$U$1,0)),02_RAW_DATA!$B$2:$B$57,$B23,02_RAW_DATA!$D$2:$D$57,01_README!$C$35))</f>
        <v>92.2554272741942</v>
      </c>
      <c r="M23" s="10" t="n">
        <f aca="false">IF(COUNTIFS(02_RAW_DATA!$B$2:$B$57,$B23,02_RAW_DATA!$D$2:$D$57,01_README!$C$36,INDEX(02_RAW_DATA!$E$2:$U$57,0,MATCH($C23&amp;" [YR"&amp;$C23&amp;"]",02_RAW_DATA!$E$1:$U$1,0)),"&gt;-1E+300")=0,"",SUMIFS(INDEX(02_RAW_DATA!$E$2:$U$57,0,MATCH($C23&amp;" [YR"&amp;$C23&amp;"]",02_RAW_DATA!$E$1:$U$1,0)),02_RAW_DATA!$B$2:$B$57,$B23,02_RAW_DATA!$D$2:$D$57,01_README!$C$36))</f>
        <v>15820000000</v>
      </c>
      <c r="N23" s="11" t="n">
        <f aca="false">IF(COUNTIFS(02_RAW_DATA!$B$2:$B$57,$B23,02_RAW_DATA!$D$2:$D$57,01_README!$C$37,INDEX(02_RAW_DATA!$E$2:$U$57,0,MATCH($C23&amp;" [YR"&amp;$C23&amp;"]",02_RAW_DATA!$E$1:$U$1,0)),"&gt;-1E+300")=0,"",SUMIFS(INDEX(02_RAW_DATA!$E$2:$U$57,0,MATCH($C23&amp;" [YR"&amp;$C23&amp;"]",02_RAW_DATA!$E$1:$U$1,0)),02_RAW_DATA!$B$2:$B$57,$B23,02_RAW_DATA!$D$2:$D$57,01_README!$C$37))</f>
        <v>3.29546177974363</v>
      </c>
      <c r="O23" s="11" t="n">
        <f aca="false">IF(COUNTIFS(02_RAW_DATA!$B$2:$B$57,$B23,02_RAW_DATA!$D$2:$D$57,01_README!$C$38,INDEX(02_RAW_DATA!$E$2:$U$57,0,MATCH($C23&amp;" [YR"&amp;$C23&amp;"]",02_RAW_DATA!$E$1:$U$1,0)),"&gt;-1E+300")=0,"",SUMIFS(INDEX(02_RAW_DATA!$E$2:$U$57,0,MATCH($C23&amp;" [YR"&amp;$C23&amp;"]",02_RAW_DATA!$E$1:$U$1,0)),02_RAW_DATA!$B$2:$B$57,$B23,02_RAW_DATA!$D$2:$D$57,01_README!$C$38))</f>
        <v>17.6693391336256</v>
      </c>
      <c r="P23" s="11" t="n">
        <f aca="false">IF(COUNTIFS(02_RAW_DATA!$B$2:$B$57,$B23,02_RAW_DATA!$D$2:$D$57,01_README!$C$39,INDEX(02_RAW_DATA!$E$2:$U$57,0,MATCH($C23&amp;" [YR"&amp;$C23&amp;"]",02_RAW_DATA!$E$1:$U$1,0)),"&gt;-1E+300")=0,"",SUMIFS(INDEX(02_RAW_DATA!$E$2:$U$57,0,MATCH($C23&amp;" [YR"&amp;$C23&amp;"]",02_RAW_DATA!$E$1:$U$1,0)),02_RAW_DATA!$B$2:$B$57,$B23,02_RAW_DATA!$D$2:$D$57,01_README!$C$39))</f>
        <v>-1.3254755565429</v>
      </c>
      <c r="Q23" s="10" t="n">
        <f aca="false">IF(COUNTIFS(02_RAW_DATA!$B$2:$B$57,$B23,02_RAW_DATA!$D$2:$D$57,01_README!$C$40,INDEX(02_RAW_DATA!$E$2:$U$57,0,MATCH($C23&amp;" [YR"&amp;$C23&amp;"]",02_RAW_DATA!$E$1:$U$1,0)),"&gt;-1E+300")=0,"",SUMIFS(INDEX(02_RAW_DATA!$E$2:$U$57,0,MATCH($C23&amp;" [YR"&amp;$C23&amp;"]",02_RAW_DATA!$E$1:$U$1,0)),02_RAW_DATA!$B$2:$B$57,$B23,02_RAW_DATA!$D$2:$D$57,01_README!$C$40))</f>
        <v>199124000000</v>
      </c>
    </row>
    <row r="24" customFormat="false" ht="15" hidden="false" customHeight="false" outlineLevel="0" collapsed="false">
      <c r="A24" s="8" t="s">
        <v>129</v>
      </c>
      <c r="B24" s="8" t="s">
        <v>130</v>
      </c>
      <c r="C24" s="8" t="n">
        <v>2016</v>
      </c>
      <c r="D24" s="10" t="n">
        <f aca="false">IF(COUNTIFS(02_RAW_DATA!$B$2:$B$57,$B24,02_RAW_DATA!$D$2:$D$57,01_README!$C$27,INDEX(02_RAW_DATA!$E$2:$U$57,0,MATCH($C24&amp;" [YR"&amp;$C24&amp;"]",02_RAW_DATA!$E$1:$U$1,0)),"&gt;-1E+300")=0,"",SUMIFS(INDEX(02_RAW_DATA!$E$2:$U$57,0,MATCH($C24&amp;" [YR"&amp;$C24&amp;"]",02_RAW_DATA!$E$1:$U$1,0)),02_RAW_DATA!$B$2:$B$57,$B24,02_RAW_DATA!$D$2:$D$57,01_README!$C$27))</f>
        <v>473259623976.262</v>
      </c>
      <c r="E24" s="11" t="n">
        <f aca="false">IF(COUNTIFS(02_RAW_DATA!$B$2:$B$57,$B24,02_RAW_DATA!$D$2:$D$57,01_README!$C$28,INDEX(02_RAW_DATA!$E$2:$U$57,0,MATCH($C24&amp;" [YR"&amp;$C24&amp;"]",02_RAW_DATA!$E$1:$U$1,0)),"&gt;-1E+300")=0,"",SUMIFS(INDEX(02_RAW_DATA!$E$2:$U$57,0,MATCH($C24&amp;" [YR"&amp;$C24&amp;"]",02_RAW_DATA!$E$1:$U$1,0)),02_RAW_DATA!$B$2:$B$57,$B24,02_RAW_DATA!$D$2:$D$57,01_README!$C$28))</f>
        <v>3.03117767594847</v>
      </c>
      <c r="F24" s="10" t="n">
        <f aca="false">IF(COUNTIFS(02_RAW_DATA!$B$2:$B$57,$B24,02_RAW_DATA!$D$2:$D$57,01_README!$C$29,INDEX(02_RAW_DATA!$E$2:$U$57,0,MATCH($C24&amp;" [YR"&amp;$C24&amp;"]",02_RAW_DATA!$E$1:$U$1,0)),"&gt;-1E+300")=0,"",SUMIFS(INDEX(02_RAW_DATA!$E$2:$U$57,0,MATCH($C24&amp;" [YR"&amp;$C24&amp;"]",02_RAW_DATA!$E$1:$U$1,0)),02_RAW_DATA!$B$2:$B$57,$B24,02_RAW_DATA!$D$2:$D$57,01_README!$C$29))</f>
        <v>12464.0121044827</v>
      </c>
      <c r="G24" s="10" t="n">
        <f aca="false">IF(COUNTIFS(02_RAW_DATA!$B$2:$B$57,$B24,02_RAW_DATA!$D$2:$D$57,01_README!$C$30,INDEX(02_RAW_DATA!$E$2:$U$57,0,MATCH($C24&amp;" [YR"&amp;$C24&amp;"]",02_RAW_DATA!$E$1:$U$1,0)),"&gt;-1E+300")=0,"",SUMIFS(INDEX(02_RAW_DATA!$E$2:$U$57,0,MATCH($C24&amp;" [YR"&amp;$C24&amp;"]",02_RAW_DATA!$E$1:$U$1,0)),02_RAW_DATA!$B$2:$B$57,$B24,02_RAW_DATA!$D$2:$D$57,01_README!$C$30))</f>
        <v>236186977573.962</v>
      </c>
      <c r="H24" s="10" t="n">
        <f aca="false">IF(COUNTIFS(02_RAW_DATA!$B$2:$B$57,$B24,02_RAW_DATA!$D$2:$D$57,01_README!$C$31,INDEX(02_RAW_DATA!$E$2:$U$57,0,MATCH($C24&amp;" [YR"&amp;$C24&amp;"]",02_RAW_DATA!$E$1:$U$1,0)),"&gt;-1E+300")=0,"",SUMIFS(INDEX(02_RAW_DATA!$E$2:$U$57,0,MATCH($C24&amp;" [YR"&amp;$C24&amp;"]",02_RAW_DATA!$E$1:$U$1,0)),02_RAW_DATA!$B$2:$B$57,$B24,02_RAW_DATA!$D$2:$D$57,01_README!$C$31))</f>
        <v>246685236768.802</v>
      </c>
      <c r="I24" s="10" t="n">
        <f aca="false">IF(COUNTIFS(02_RAW_DATA!$B$2:$B$57,$B24,02_RAW_DATA!$D$2:$D$57,01_README!$C$32,INDEX(02_RAW_DATA!$E$2:$U$57,0,MATCH($C24&amp;" [YR"&amp;$C24&amp;"]",02_RAW_DATA!$E$1:$U$1,0)),"&gt;-1E+300")=0,"",SUMIFS(INDEX(02_RAW_DATA!$E$2:$U$57,0,MATCH($C24&amp;" [YR"&amp;$C24&amp;"]",02_RAW_DATA!$E$1:$U$1,0)),02_RAW_DATA!$B$2:$B$57,$B24,02_RAW_DATA!$D$2:$D$57,01_README!$C$32))</f>
        <v>222240229807.22</v>
      </c>
      <c r="J24" s="11" t="n">
        <f aca="false">IF(COUNTIFS(02_RAW_DATA!$B$2:$B$57,$B24,02_RAW_DATA!$D$2:$D$57,01_README!$C$33,INDEX(02_RAW_DATA!$E$2:$U$57,0,MATCH($C24&amp;" [YR"&amp;$C24&amp;"]",02_RAW_DATA!$E$1:$U$1,0)),"&gt;-1E+300")=0,"",SUMIFS(INDEX(02_RAW_DATA!$E$2:$U$57,0,MATCH($C24&amp;" [YR"&amp;$C24&amp;"]",02_RAW_DATA!$E$1:$U$1,0)),02_RAW_DATA!$B$2:$B$57,$B24,02_RAW_DATA!$D$2:$D$57,01_README!$C$33))</f>
        <v>49.906428862355</v>
      </c>
      <c r="K24" s="11" t="n">
        <f aca="false">IF(COUNTIFS(02_RAW_DATA!$B$2:$B$57,$B24,02_RAW_DATA!$D$2:$D$57,01_README!$C$34,INDEX(02_RAW_DATA!$E$2:$U$57,0,MATCH($C24&amp;" [YR"&amp;$C24&amp;"]",02_RAW_DATA!$E$1:$U$1,0)),"&gt;-1E+300")=0,"",SUMIFS(INDEX(02_RAW_DATA!$E$2:$U$57,0,MATCH($C24&amp;" [YR"&amp;$C24&amp;"]",02_RAW_DATA!$E$1:$U$1,0)),02_RAW_DATA!$B$2:$B$57,$B24,02_RAW_DATA!$D$2:$D$57,01_README!$C$34))</f>
        <v>46.9594739437073</v>
      </c>
      <c r="L24" s="11" t="n">
        <f aca="false">IF(COUNTIFS(02_RAW_DATA!$B$2:$B$57,$B24,02_RAW_DATA!$D$2:$D$57,01_README!$C$35,INDEX(02_RAW_DATA!$E$2:$U$57,0,MATCH($C24&amp;" [YR"&amp;$C24&amp;"]",02_RAW_DATA!$E$1:$U$1,0)),"&gt;-1E+300")=0,"",SUMIFS(INDEX(02_RAW_DATA!$E$2:$U$57,0,MATCH($C24&amp;" [YR"&amp;$C24&amp;"]",02_RAW_DATA!$E$1:$U$1,0)),02_RAW_DATA!$B$2:$B$57,$B24,02_RAW_DATA!$D$2:$D$57,01_README!$C$35))</f>
        <v>96.8659028060623</v>
      </c>
      <c r="M24" s="10" t="n">
        <f aca="false">IF(COUNTIFS(02_RAW_DATA!$B$2:$B$57,$B24,02_RAW_DATA!$D$2:$D$57,01_README!$C$36,INDEX(02_RAW_DATA!$E$2:$U$57,0,MATCH($C24&amp;" [YR"&amp;$C24&amp;"]",02_RAW_DATA!$E$1:$U$1,0)),"&gt;-1E+300")=0,"",SUMIFS(INDEX(02_RAW_DATA!$E$2:$U$57,0,MATCH($C24&amp;" [YR"&amp;$C24&amp;"]",02_RAW_DATA!$E$1:$U$1,0)),02_RAW_DATA!$B$2:$B$57,$B24,02_RAW_DATA!$D$2:$D$57,01_README!$C$36))</f>
        <v>18060000000</v>
      </c>
      <c r="N24" s="11" t="n">
        <f aca="false">IF(COUNTIFS(02_RAW_DATA!$B$2:$B$57,$B24,02_RAW_DATA!$D$2:$D$57,01_README!$C$37,INDEX(02_RAW_DATA!$E$2:$U$57,0,MATCH($C24&amp;" [YR"&amp;$C24&amp;"]",02_RAW_DATA!$E$1:$U$1,0)),"&gt;-1E+300")=0,"",SUMIFS(INDEX(02_RAW_DATA!$E$2:$U$57,0,MATCH($C24&amp;" [YR"&amp;$C24&amp;"]",02_RAW_DATA!$E$1:$U$1,0)),02_RAW_DATA!$B$2:$B$57,$B24,02_RAW_DATA!$D$2:$D$57,01_README!$C$37))</f>
        <v>3.81608721408819</v>
      </c>
      <c r="O24" s="11" t="n">
        <f aca="false">IF(COUNTIFS(02_RAW_DATA!$B$2:$B$57,$B24,02_RAW_DATA!$D$2:$D$57,01_README!$C$38,INDEX(02_RAW_DATA!$E$2:$U$57,0,MATCH($C24&amp;" [YR"&amp;$C24&amp;"]",02_RAW_DATA!$E$1:$U$1,0)),"&gt;-1E+300")=0,"",SUMIFS(INDEX(02_RAW_DATA!$E$2:$U$57,0,MATCH($C24&amp;" [YR"&amp;$C24&amp;"]",02_RAW_DATA!$E$1:$U$1,0)),02_RAW_DATA!$B$2:$B$57,$B24,02_RAW_DATA!$D$2:$D$57,01_README!$C$38))</f>
        <v>18.2752041844413</v>
      </c>
      <c r="P24" s="11" t="n">
        <f aca="false">IF(COUNTIFS(02_RAW_DATA!$B$2:$B$57,$B24,02_RAW_DATA!$D$2:$D$57,01_README!$C$39,INDEX(02_RAW_DATA!$E$2:$U$57,0,MATCH($C24&amp;" [YR"&amp;$C24&amp;"]",02_RAW_DATA!$E$1:$U$1,0)),"&gt;-1E+300")=0,"",SUMIFS(INDEX(02_RAW_DATA!$E$2:$U$57,0,MATCH($C24&amp;" [YR"&amp;$C24&amp;"]",02_RAW_DATA!$E$1:$U$1,0)),02_RAW_DATA!$B$2:$B$57,$B24,02_RAW_DATA!$D$2:$D$57,01_README!$C$39))</f>
        <v>-1.06875798055693</v>
      </c>
      <c r="Q24" s="10" t="n">
        <f aca="false">IF(COUNTIFS(02_RAW_DATA!$B$2:$B$57,$B24,02_RAW_DATA!$D$2:$D$57,01_README!$C$40,INDEX(02_RAW_DATA!$E$2:$U$57,0,MATCH($C24&amp;" [YR"&amp;$C24&amp;"]",02_RAW_DATA!$E$1:$U$1,0)),"&gt;-1E+300")=0,"",SUMIFS(INDEX(02_RAW_DATA!$E$2:$U$57,0,MATCH($C24&amp;" [YR"&amp;$C24&amp;"]",02_RAW_DATA!$E$1:$U$1,0)),02_RAW_DATA!$B$2:$B$57,$B24,02_RAW_DATA!$D$2:$D$57,01_README!$C$40))</f>
        <v>203817000000</v>
      </c>
    </row>
    <row r="25" customFormat="false" ht="15" hidden="false" customHeight="false" outlineLevel="0" collapsed="false">
      <c r="A25" s="8" t="s">
        <v>129</v>
      </c>
      <c r="B25" s="8" t="s">
        <v>130</v>
      </c>
      <c r="C25" s="8" t="n">
        <v>2017</v>
      </c>
      <c r="D25" s="10" t="n">
        <f aca="false">IF(COUNTIFS(02_RAW_DATA!$B$2:$B$57,$B25,02_RAW_DATA!$D$2:$D$57,01_README!$C$27,INDEX(02_RAW_DATA!$E$2:$U$57,0,MATCH($C25&amp;" [YR"&amp;$C25&amp;"]",02_RAW_DATA!$E$1:$U$1,0)),"&gt;-1E+300")=0,"",SUMIFS(INDEX(02_RAW_DATA!$E$2:$U$57,0,MATCH($C25&amp;" [YR"&amp;$C25&amp;"]",02_RAW_DATA!$E$1:$U$1,0)),02_RAW_DATA!$B$2:$B$57,$B25,02_RAW_DATA!$D$2:$D$57,01_README!$C$27))</f>
        <v>528356723263.073</v>
      </c>
      <c r="E25" s="11" t="n">
        <f aca="false">IF(COUNTIFS(02_RAW_DATA!$B$2:$B$57,$B25,02_RAW_DATA!$D$2:$D$57,01_README!$C$28,INDEX(02_RAW_DATA!$E$2:$U$57,0,MATCH($C25&amp;" [YR"&amp;$C25&amp;"]",02_RAW_DATA!$E$1:$U$1,0)),"&gt;-1E+300")=0,"",SUMIFS(INDEX(02_RAW_DATA!$E$2:$U$57,0,MATCH($C25&amp;" [YR"&amp;$C25&amp;"]",02_RAW_DATA!$E$1:$U$1,0)),02_RAW_DATA!$B$2:$B$57,$B25,02_RAW_DATA!$D$2:$D$57,01_README!$C$28))</f>
        <v>5.15245773325907</v>
      </c>
      <c r="F25" s="10" t="n">
        <f aca="false">IF(COUNTIFS(02_RAW_DATA!$B$2:$B$57,$B25,02_RAW_DATA!$D$2:$D$57,01_README!$C$29,INDEX(02_RAW_DATA!$E$2:$U$57,0,MATCH($C25&amp;" [YR"&amp;$C25&amp;"]",02_RAW_DATA!$E$1:$U$1,0)),"&gt;-1E+300")=0,"",SUMIFS(INDEX(02_RAW_DATA!$E$2:$U$57,0,MATCH($C25&amp;" [YR"&amp;$C25&amp;"]",02_RAW_DATA!$E$1:$U$1,0)),02_RAW_DATA!$B$2:$B$57,$B25,02_RAW_DATA!$D$2:$D$57,01_README!$C$29))</f>
        <v>13913.3415190124</v>
      </c>
      <c r="G25" s="10" t="n">
        <f aca="false">IF(COUNTIFS(02_RAW_DATA!$B$2:$B$57,$B25,02_RAW_DATA!$D$2:$D$57,01_README!$C$30,INDEX(02_RAW_DATA!$E$2:$U$57,0,MATCH($C25&amp;" [YR"&amp;$C25&amp;"]",02_RAW_DATA!$E$1:$U$1,0)),"&gt;-1E+300")=0,"",SUMIFS(INDEX(02_RAW_DATA!$E$2:$U$57,0,MATCH($C25&amp;" [YR"&amp;$C25&amp;"]",02_RAW_DATA!$E$1:$U$1,0)),02_RAW_DATA!$B$2:$B$57,$B25,02_RAW_DATA!$D$2:$D$57,01_README!$C$30))</f>
        <v>273120944886.307</v>
      </c>
      <c r="H25" s="10" t="n">
        <f aca="false">IF(COUNTIFS(02_RAW_DATA!$B$2:$B$57,$B25,02_RAW_DATA!$D$2:$D$57,01_README!$C$31,INDEX(02_RAW_DATA!$E$2:$U$57,0,MATCH($C25&amp;" [YR"&amp;$C25&amp;"]",02_RAW_DATA!$E$1:$U$1,0)),"&gt;-1E+300")=0,"",SUMIFS(INDEX(02_RAW_DATA!$E$2:$U$57,0,MATCH($C25&amp;" [YR"&amp;$C25&amp;"]",02_RAW_DATA!$E$1:$U$1,0)),02_RAW_DATA!$B$2:$B$57,$B25,02_RAW_DATA!$D$2:$D$57,01_README!$C$31))</f>
        <v>269113834726.091</v>
      </c>
      <c r="I25" s="10" t="n">
        <f aca="false">IF(COUNTIFS(02_RAW_DATA!$B$2:$B$57,$B25,02_RAW_DATA!$D$2:$D$57,01_README!$C$32,INDEX(02_RAW_DATA!$E$2:$U$57,0,MATCH($C25&amp;" [YR"&amp;$C25&amp;"]",02_RAW_DATA!$E$1:$U$1,0)),"&gt;-1E+300")=0,"",SUMIFS(INDEX(02_RAW_DATA!$E$2:$U$57,0,MATCH($C25&amp;" [YR"&amp;$C25&amp;"]",02_RAW_DATA!$E$1:$U$1,0)),02_RAW_DATA!$B$2:$B$57,$B25,02_RAW_DATA!$D$2:$D$57,01_README!$C$32))</f>
        <v>258225723957.111</v>
      </c>
      <c r="J25" s="11" t="n">
        <f aca="false">IF(COUNTIFS(02_RAW_DATA!$B$2:$B$57,$B25,02_RAW_DATA!$D$2:$D$57,01_README!$C$33,INDEX(02_RAW_DATA!$E$2:$U$57,0,MATCH($C25&amp;" [YR"&amp;$C25&amp;"]",02_RAW_DATA!$E$1:$U$1,0)),"&gt;-1E+300")=0,"",SUMIFS(INDEX(02_RAW_DATA!$E$2:$U$57,0,MATCH($C25&amp;" [YR"&amp;$C25&amp;"]",02_RAW_DATA!$E$1:$U$1,0)),02_RAW_DATA!$B$2:$B$57,$B25,02_RAW_DATA!$D$2:$D$57,01_README!$C$33))</f>
        <v>51.6925275786294</v>
      </c>
      <c r="K25" s="11" t="n">
        <f aca="false">IF(COUNTIFS(02_RAW_DATA!$B$2:$B$57,$B25,02_RAW_DATA!$D$2:$D$57,01_README!$C$34,INDEX(02_RAW_DATA!$E$2:$U$57,0,MATCH($C25&amp;" [YR"&amp;$C25&amp;"]",02_RAW_DATA!$E$1:$U$1,0)),"&gt;-1E+300")=0,"",SUMIFS(INDEX(02_RAW_DATA!$E$2:$U$57,0,MATCH($C25&amp;" [YR"&amp;$C25&amp;"]",02_RAW_DATA!$E$1:$U$1,0)),02_RAW_DATA!$B$2:$B$57,$B25,02_RAW_DATA!$D$2:$D$57,01_README!$C$34))</f>
        <v>48.8733676676502</v>
      </c>
      <c r="L25" s="11" t="n">
        <f aca="false">IF(COUNTIFS(02_RAW_DATA!$B$2:$B$57,$B25,02_RAW_DATA!$D$2:$D$57,01_README!$C$35,INDEX(02_RAW_DATA!$E$2:$U$57,0,MATCH($C25&amp;" [YR"&amp;$C25&amp;"]",02_RAW_DATA!$E$1:$U$1,0)),"&gt;-1E+300")=0,"",SUMIFS(INDEX(02_RAW_DATA!$E$2:$U$57,0,MATCH($C25&amp;" [YR"&amp;$C25&amp;"]",02_RAW_DATA!$E$1:$U$1,0)),02_RAW_DATA!$B$2:$B$57,$B25,02_RAW_DATA!$D$2:$D$57,01_README!$C$35))</f>
        <v>100.56589524628</v>
      </c>
      <c r="M25" s="10" t="n">
        <f aca="false">IF(COUNTIFS(02_RAW_DATA!$B$2:$B$57,$B25,02_RAW_DATA!$D$2:$D$57,01_README!$C$36,INDEX(02_RAW_DATA!$E$2:$U$57,0,MATCH($C25&amp;" [YR"&amp;$C25&amp;"]",02_RAW_DATA!$E$1:$U$1,0)),"&gt;-1E+300")=0,"",SUMIFS(INDEX(02_RAW_DATA!$E$2:$U$57,0,MATCH($C25&amp;" [YR"&amp;$C25&amp;"]",02_RAW_DATA!$E$1:$U$1,0)),02_RAW_DATA!$B$2:$B$57,$B25,02_RAW_DATA!$D$2:$D$57,01_README!$C$36))</f>
        <v>12565000000</v>
      </c>
      <c r="N25" s="11" t="n">
        <f aca="false">IF(COUNTIFS(02_RAW_DATA!$B$2:$B$57,$B25,02_RAW_DATA!$D$2:$D$57,01_README!$C$37,INDEX(02_RAW_DATA!$E$2:$U$57,0,MATCH($C25&amp;" [YR"&amp;$C25&amp;"]",02_RAW_DATA!$E$1:$U$1,0)),"&gt;-1E+300")=0,"",SUMIFS(INDEX(02_RAW_DATA!$E$2:$U$57,0,MATCH($C25&amp;" [YR"&amp;$C25&amp;"]",02_RAW_DATA!$E$1:$U$1,0)),02_RAW_DATA!$B$2:$B$57,$B25,02_RAW_DATA!$D$2:$D$57,01_README!$C$37))</f>
        <v>2.37812815599278</v>
      </c>
      <c r="O25" s="11" t="n">
        <f aca="false">IF(COUNTIFS(02_RAW_DATA!$B$2:$B$57,$B25,02_RAW_DATA!$D$2:$D$57,01_README!$C$38,INDEX(02_RAW_DATA!$E$2:$U$57,0,MATCH($C25&amp;" [YR"&amp;$C25&amp;"]",02_RAW_DATA!$E$1:$U$1,0)),"&gt;-1E+300")=0,"",SUMIFS(INDEX(02_RAW_DATA!$E$2:$U$57,0,MATCH($C25&amp;" [YR"&amp;$C25&amp;"]",02_RAW_DATA!$E$1:$U$1,0)),02_RAW_DATA!$B$2:$B$57,$B25,02_RAW_DATA!$D$2:$D$57,01_README!$C$38))</f>
        <v>16.8858634359557</v>
      </c>
      <c r="P25" s="11" t="n">
        <f aca="false">IF(COUNTIFS(02_RAW_DATA!$B$2:$B$57,$B25,02_RAW_DATA!$D$2:$D$57,01_README!$C$39,INDEX(02_RAW_DATA!$E$2:$U$57,0,MATCH($C25&amp;" [YR"&amp;$C25&amp;"]",02_RAW_DATA!$E$1:$U$1,0)),"&gt;-1E+300")=0,"",SUMIFS(INDEX(02_RAW_DATA!$E$2:$U$57,0,MATCH($C25&amp;" [YR"&amp;$C25&amp;"]",02_RAW_DATA!$E$1:$U$1,0)),02_RAW_DATA!$B$2:$B$57,$B25,02_RAW_DATA!$D$2:$D$57,01_README!$C$39))</f>
        <v>-1.18631971999704</v>
      </c>
      <c r="Q25" s="10" t="n">
        <f aca="false">IF(COUNTIFS(02_RAW_DATA!$B$2:$B$57,$B25,02_RAW_DATA!$D$2:$D$57,01_README!$C$40,INDEX(02_RAW_DATA!$E$2:$U$57,0,MATCH($C25&amp;" [YR"&amp;$C25&amp;"]",02_RAW_DATA!$E$1:$U$1,0)),"&gt;-1E+300")=0,"",SUMIFS(INDEX(02_RAW_DATA!$E$2:$U$57,0,MATCH($C25&amp;" [YR"&amp;$C25&amp;"]",02_RAW_DATA!$E$1:$U$1,0)),02_RAW_DATA!$B$2:$B$57,$B25,02_RAW_DATA!$D$2:$D$57,01_README!$C$40))</f>
        <v>234364000000</v>
      </c>
    </row>
    <row r="26" customFormat="false" ht="15" hidden="false" customHeight="false" outlineLevel="0" collapsed="false">
      <c r="A26" s="8" t="s">
        <v>129</v>
      </c>
      <c r="B26" s="8" t="s">
        <v>130</v>
      </c>
      <c r="C26" s="8" t="n">
        <v>2018</v>
      </c>
      <c r="D26" s="10" t="n">
        <f aca="false">IF(COUNTIFS(02_RAW_DATA!$B$2:$B$57,$B26,02_RAW_DATA!$D$2:$D$57,01_README!$C$27,INDEX(02_RAW_DATA!$E$2:$U$57,0,MATCH($C26&amp;" [YR"&amp;$C26&amp;"]",02_RAW_DATA!$E$1:$U$1,0)),"&gt;-1E+300")=0,"",SUMIFS(INDEX(02_RAW_DATA!$E$2:$U$57,0,MATCH($C26&amp;" [YR"&amp;$C26&amp;"]",02_RAW_DATA!$E$1:$U$1,0)),02_RAW_DATA!$B$2:$B$57,$B26,02_RAW_DATA!$D$2:$D$57,01_README!$C$27))</f>
        <v>594616632477.019</v>
      </c>
      <c r="E26" s="11" t="n">
        <f aca="false">IF(COUNTIFS(02_RAW_DATA!$B$2:$B$57,$B26,02_RAW_DATA!$D$2:$D$57,01_README!$C$28,INDEX(02_RAW_DATA!$E$2:$U$57,0,MATCH($C26&amp;" [YR"&amp;$C26&amp;"]",02_RAW_DATA!$E$1:$U$1,0)),"&gt;-1E+300")=0,"",SUMIFS(INDEX(02_RAW_DATA!$E$2:$U$57,0,MATCH($C26&amp;" [YR"&amp;$C26&amp;"]",02_RAW_DATA!$E$1:$U$1,0)),02_RAW_DATA!$B$2:$B$57,$B26,02_RAW_DATA!$D$2:$D$57,01_README!$C$28))</f>
        <v>6.2458584723942</v>
      </c>
      <c r="F26" s="10" t="n">
        <f aca="false">IF(COUNTIFS(02_RAW_DATA!$B$2:$B$57,$B26,02_RAW_DATA!$D$2:$D$57,01_README!$C$29,INDEX(02_RAW_DATA!$E$2:$U$57,0,MATCH($C26&amp;" [YR"&amp;$C26&amp;"]",02_RAW_DATA!$E$1:$U$1,0)),"&gt;-1E+300")=0,"",SUMIFS(INDEX(02_RAW_DATA!$E$2:$U$57,0,MATCH($C26&amp;" [YR"&amp;$C26&amp;"]",02_RAW_DATA!$E$1:$U$1,0)),02_RAW_DATA!$B$2:$B$57,$B26,02_RAW_DATA!$D$2:$D$57,01_README!$C$29))</f>
        <v>15658.210586693</v>
      </c>
      <c r="G26" s="10" t="n">
        <f aca="false">IF(COUNTIFS(02_RAW_DATA!$B$2:$B$57,$B26,02_RAW_DATA!$D$2:$D$57,01_README!$C$30,INDEX(02_RAW_DATA!$E$2:$U$57,0,MATCH($C26&amp;" [YR"&amp;$C26&amp;"]",02_RAW_DATA!$E$1:$U$1,0)),"&gt;-1E+300")=0,"",SUMIFS(INDEX(02_RAW_DATA!$E$2:$U$57,0,MATCH($C26&amp;" [YR"&amp;$C26&amp;"]",02_RAW_DATA!$E$1:$U$1,0)),02_RAW_DATA!$B$2:$B$57,$B26,02_RAW_DATA!$D$2:$D$57,01_README!$C$30))</f>
        <v>310583581160.982</v>
      </c>
      <c r="H26" s="10" t="n">
        <f aca="false">IF(COUNTIFS(02_RAW_DATA!$B$2:$B$57,$B26,02_RAW_DATA!$D$2:$D$57,01_README!$C$31,INDEX(02_RAW_DATA!$E$2:$U$57,0,MATCH($C26&amp;" [YR"&amp;$C26&amp;"]",02_RAW_DATA!$E$1:$U$1,0)),"&gt;-1E+300")=0,"",SUMIFS(INDEX(02_RAW_DATA!$E$2:$U$57,0,MATCH($C26&amp;" [YR"&amp;$C26&amp;"]",02_RAW_DATA!$E$1:$U$1,0)),02_RAW_DATA!$B$2:$B$57,$B26,02_RAW_DATA!$D$2:$D$57,01_README!$C$31))</f>
        <v>287298846000.796</v>
      </c>
      <c r="I26" s="10" t="n">
        <f aca="false">IF(COUNTIFS(02_RAW_DATA!$B$2:$B$57,$B26,02_RAW_DATA!$D$2:$D$57,01_README!$C$32,INDEX(02_RAW_DATA!$E$2:$U$57,0,MATCH($C26&amp;" [YR"&amp;$C26&amp;"]",02_RAW_DATA!$E$1:$U$1,0)),"&gt;-1E+300")=0,"",SUMIFS(INDEX(02_RAW_DATA!$E$2:$U$57,0,MATCH($C26&amp;" [YR"&amp;$C26&amp;"]",02_RAW_DATA!$E$1:$U$1,0)),02_RAW_DATA!$B$2:$B$57,$B26,02_RAW_DATA!$D$2:$D$57,01_README!$C$32))</f>
        <v>298556337608.954</v>
      </c>
      <c r="J26" s="11" t="n">
        <f aca="false">IF(COUNTIFS(02_RAW_DATA!$B$2:$B$57,$B26,02_RAW_DATA!$D$2:$D$57,01_README!$C$33,INDEX(02_RAW_DATA!$E$2:$U$57,0,MATCH($C26&amp;" [YR"&amp;$C26&amp;"]",02_RAW_DATA!$E$1:$U$1,0)),"&gt;-1E+300")=0,"",SUMIFS(INDEX(02_RAW_DATA!$E$2:$U$57,0,MATCH($C26&amp;" [YR"&amp;$C26&amp;"]",02_RAW_DATA!$E$1:$U$1,0)),02_RAW_DATA!$B$2:$B$57,$B26,02_RAW_DATA!$D$2:$D$57,01_README!$C$33))</f>
        <v>52.232575443975</v>
      </c>
      <c r="K26" s="11" t="n">
        <f aca="false">IF(COUNTIFS(02_RAW_DATA!$B$2:$B$57,$B26,02_RAW_DATA!$D$2:$D$57,01_README!$C$34,INDEX(02_RAW_DATA!$E$2:$U$57,0,MATCH($C26&amp;" [YR"&amp;$C26&amp;"]",02_RAW_DATA!$E$1:$U$1,0)),"&gt;-1E+300")=0,"",SUMIFS(INDEX(02_RAW_DATA!$E$2:$U$57,0,MATCH($C26&amp;" [YR"&amp;$C26&amp;"]",02_RAW_DATA!$E$1:$U$1,0)),02_RAW_DATA!$B$2:$B$57,$B26,02_RAW_DATA!$D$2:$D$57,01_README!$C$34))</f>
        <v>50.2098867240303</v>
      </c>
      <c r="L26" s="11" t="n">
        <f aca="false">IF(COUNTIFS(02_RAW_DATA!$B$2:$B$57,$B26,02_RAW_DATA!$D$2:$D$57,01_README!$C$35,INDEX(02_RAW_DATA!$E$2:$U$57,0,MATCH($C26&amp;" [YR"&amp;$C26&amp;"]",02_RAW_DATA!$E$1:$U$1,0)),"&gt;-1E+300")=0,"",SUMIFS(INDEX(02_RAW_DATA!$E$2:$U$57,0,MATCH($C26&amp;" [YR"&amp;$C26&amp;"]",02_RAW_DATA!$E$1:$U$1,0)),02_RAW_DATA!$B$2:$B$57,$B26,02_RAW_DATA!$D$2:$D$57,01_README!$C$35))</f>
        <v>102.442462168005</v>
      </c>
      <c r="M26" s="10" t="n">
        <f aca="false">IF(COUNTIFS(02_RAW_DATA!$B$2:$B$57,$B26,02_RAW_DATA!$D$2:$D$57,01_README!$C$36,INDEX(02_RAW_DATA!$E$2:$U$57,0,MATCH($C26&amp;" [YR"&amp;$C26&amp;"]",02_RAW_DATA!$E$1:$U$1,0)),"&gt;-1E+300")=0,"",SUMIFS(INDEX(02_RAW_DATA!$E$2:$U$57,0,MATCH($C26&amp;" [YR"&amp;$C26&amp;"]",02_RAW_DATA!$E$1:$U$1,0)),02_RAW_DATA!$B$2:$B$57,$B26,02_RAW_DATA!$D$2:$D$57,01_README!$C$36))</f>
        <v>19908000000</v>
      </c>
      <c r="N26" s="11" t="n">
        <f aca="false">IF(COUNTIFS(02_RAW_DATA!$B$2:$B$57,$B26,02_RAW_DATA!$D$2:$D$57,01_README!$C$37,INDEX(02_RAW_DATA!$E$2:$U$57,0,MATCH($C26&amp;" [YR"&amp;$C26&amp;"]",02_RAW_DATA!$E$1:$U$1,0)),"&gt;-1E+300")=0,"",SUMIFS(INDEX(02_RAW_DATA!$E$2:$U$57,0,MATCH($C26&amp;" [YR"&amp;$C26&amp;"]",02_RAW_DATA!$E$1:$U$1,0)),02_RAW_DATA!$B$2:$B$57,$B26,02_RAW_DATA!$D$2:$D$57,01_README!$C$37))</f>
        <v>3.34803954559233</v>
      </c>
      <c r="O26" s="11" t="n">
        <f aca="false">IF(COUNTIFS(02_RAW_DATA!$B$2:$B$57,$B26,02_RAW_DATA!$D$2:$D$57,01_README!$C$38,INDEX(02_RAW_DATA!$E$2:$U$57,0,MATCH($C26&amp;" [YR"&amp;$C26&amp;"]",02_RAW_DATA!$E$1:$U$1,0)),"&gt;-1E+300")=0,"",SUMIFS(INDEX(02_RAW_DATA!$E$2:$U$57,0,MATCH($C26&amp;" [YR"&amp;$C26&amp;"]",02_RAW_DATA!$E$1:$U$1,0)),02_RAW_DATA!$B$2:$B$57,$B26,02_RAW_DATA!$D$2:$D$57,01_README!$C$38))</f>
        <v>16.4851063076839</v>
      </c>
      <c r="P26" s="11" t="n">
        <f aca="false">IF(COUNTIFS(02_RAW_DATA!$B$2:$B$57,$B26,02_RAW_DATA!$D$2:$D$57,01_README!$C$39,INDEX(02_RAW_DATA!$E$2:$U$57,0,MATCH($C26&amp;" [YR"&amp;$C26&amp;"]",02_RAW_DATA!$E$1:$U$1,0)),"&gt;-1E+300")=0,"",SUMIFS(INDEX(02_RAW_DATA!$E$2:$U$57,0,MATCH($C26&amp;" [YR"&amp;$C26&amp;"]",02_RAW_DATA!$E$1:$U$1,0)),02_RAW_DATA!$B$2:$B$57,$B26,02_RAW_DATA!$D$2:$D$57,01_README!$C$39))</f>
        <v>-1.96597258830492</v>
      </c>
      <c r="Q26" s="10" t="n">
        <f aca="false">IF(COUNTIFS(02_RAW_DATA!$B$2:$B$57,$B26,02_RAW_DATA!$D$2:$D$57,01_README!$C$40,INDEX(02_RAW_DATA!$E$2:$U$57,0,MATCH($C26&amp;" [YR"&amp;$C26&amp;"]",02_RAW_DATA!$E$1:$U$1,0)),"&gt;-1E+300")=0,"",SUMIFS(INDEX(02_RAW_DATA!$E$2:$U$57,0,MATCH($C26&amp;" [YR"&amp;$C26&amp;"]",02_RAW_DATA!$E$1:$U$1,0)),02_RAW_DATA!$B$2:$B$57,$B26,02_RAW_DATA!$D$2:$D$57,01_README!$C$40))</f>
        <v>263569000000</v>
      </c>
    </row>
    <row r="27" customFormat="false" ht="15" hidden="false" customHeight="false" outlineLevel="0" collapsed="false">
      <c r="A27" s="8" t="s">
        <v>129</v>
      </c>
      <c r="B27" s="8" t="s">
        <v>130</v>
      </c>
      <c r="C27" s="8" t="n">
        <v>2019</v>
      </c>
      <c r="D27" s="10" t="n">
        <f aca="false">IF(COUNTIFS(02_RAW_DATA!$B$2:$B$57,$B27,02_RAW_DATA!$D$2:$D$57,01_README!$C$27,INDEX(02_RAW_DATA!$E$2:$U$57,0,MATCH($C27&amp;" [YR"&amp;$C27&amp;"]",02_RAW_DATA!$E$1:$U$1,0)),"&gt;-1E+300")=0,"",SUMIFS(INDEX(02_RAW_DATA!$E$2:$U$57,0,MATCH($C27&amp;" [YR"&amp;$C27&amp;"]",02_RAW_DATA!$E$1:$U$1,0)),02_RAW_DATA!$B$2:$B$57,$B27,02_RAW_DATA!$D$2:$D$57,01_README!$C$27))</f>
        <v>602683770144.88</v>
      </c>
      <c r="E27" s="11" t="n">
        <f aca="false">IF(COUNTIFS(02_RAW_DATA!$B$2:$B$57,$B27,02_RAW_DATA!$D$2:$D$57,01_README!$C$28,INDEX(02_RAW_DATA!$E$2:$U$57,0,MATCH($C27&amp;" [YR"&amp;$C27&amp;"]",02_RAW_DATA!$E$1:$U$1,0)),"&gt;-1E+300")=0,"",SUMIFS(INDEX(02_RAW_DATA!$E$2:$U$57,0,MATCH($C27&amp;" [YR"&amp;$C27&amp;"]",02_RAW_DATA!$E$1:$U$1,0)),02_RAW_DATA!$B$2:$B$57,$B27,02_RAW_DATA!$D$2:$D$57,01_README!$C$28))</f>
        <v>4.58045817256199</v>
      </c>
      <c r="F27" s="10" t="n">
        <f aca="false">IF(COUNTIFS(02_RAW_DATA!$B$2:$B$57,$B27,02_RAW_DATA!$D$2:$D$57,01_README!$C$29,INDEX(02_RAW_DATA!$E$2:$U$57,0,MATCH($C27&amp;" [YR"&amp;$C27&amp;"]",02_RAW_DATA!$E$1:$U$1,0)),"&gt;-1E+300")=0,"",SUMIFS(INDEX(02_RAW_DATA!$E$2:$U$57,0,MATCH($C27&amp;" [YR"&amp;$C27&amp;"]",02_RAW_DATA!$E$1:$U$1,0)),02_RAW_DATA!$B$2:$B$57,$B27,02_RAW_DATA!$D$2:$D$57,01_README!$C$29))</f>
        <v>15874.5220531254</v>
      </c>
      <c r="G27" s="10" t="n">
        <f aca="false">IF(COUNTIFS(02_RAW_DATA!$B$2:$B$57,$B27,02_RAW_DATA!$D$2:$D$57,01_README!$C$30,INDEX(02_RAW_DATA!$E$2:$U$57,0,MATCH($C27&amp;" [YR"&amp;$C27&amp;"]",02_RAW_DATA!$E$1:$U$1,0)),"&gt;-1E+300")=0,"",SUMIFS(INDEX(02_RAW_DATA!$E$2:$U$57,0,MATCH($C27&amp;" [YR"&amp;$C27&amp;"]",02_RAW_DATA!$E$1:$U$1,0)),02_RAW_DATA!$B$2:$B$57,$B27,02_RAW_DATA!$D$2:$D$57,01_README!$C$30))</f>
        <v>317089370014.651</v>
      </c>
      <c r="H27" s="10" t="n">
        <f aca="false">IF(COUNTIFS(02_RAW_DATA!$B$2:$B$57,$B27,02_RAW_DATA!$D$2:$D$57,01_README!$C$31,INDEX(02_RAW_DATA!$E$2:$U$57,0,MATCH($C27&amp;" [YR"&amp;$C27&amp;"]",02_RAW_DATA!$E$1:$U$1,0)),"&gt;-1E+300")=0,"",SUMIFS(INDEX(02_RAW_DATA!$E$2:$U$57,0,MATCH($C27&amp;" [YR"&amp;$C27&amp;"]",02_RAW_DATA!$E$1:$U$1,0)),02_RAW_DATA!$B$2:$B$57,$B27,02_RAW_DATA!$D$2:$D$57,01_README!$C$31))</f>
        <v>302633293540.257</v>
      </c>
      <c r="I27" s="10" t="n">
        <f aca="false">IF(COUNTIFS(02_RAW_DATA!$B$2:$B$57,$B27,02_RAW_DATA!$D$2:$D$57,01_README!$C$32,INDEX(02_RAW_DATA!$E$2:$U$57,0,MATCH($C27&amp;" [YR"&amp;$C27&amp;"]",02_RAW_DATA!$E$1:$U$1,0)),"&gt;-1E+300")=0,"",SUMIFS(INDEX(02_RAW_DATA!$E$2:$U$57,0,MATCH($C27&amp;" [YR"&amp;$C27&amp;"]",02_RAW_DATA!$E$1:$U$1,0)),02_RAW_DATA!$B$2:$B$57,$B27,02_RAW_DATA!$D$2:$D$57,01_README!$C$32))</f>
        <v>295123034348.038</v>
      </c>
      <c r="J27" s="11" t="n">
        <f aca="false">IF(COUNTIFS(02_RAW_DATA!$B$2:$B$57,$B27,02_RAW_DATA!$D$2:$D$57,01_README!$C$33,INDEX(02_RAW_DATA!$E$2:$U$57,0,MATCH($C27&amp;" [YR"&amp;$C27&amp;"]",02_RAW_DATA!$E$1:$U$1,0)),"&gt;-1E+300")=0,"",SUMIFS(INDEX(02_RAW_DATA!$E$2:$U$57,0,MATCH($C27&amp;" [YR"&amp;$C27&amp;"]",02_RAW_DATA!$E$1:$U$1,0)),02_RAW_DATA!$B$2:$B$57,$B27,02_RAW_DATA!$D$2:$D$57,01_README!$C$33))</f>
        <v>52.6128934811742</v>
      </c>
      <c r="K27" s="11" t="n">
        <f aca="false">IF(COUNTIFS(02_RAW_DATA!$B$2:$B$57,$B27,02_RAW_DATA!$D$2:$D$57,01_README!$C$34,INDEX(02_RAW_DATA!$E$2:$U$57,0,MATCH($C27&amp;" [YR"&amp;$C27&amp;"]",02_RAW_DATA!$E$1:$U$1,0)),"&gt;-1E+300")=0,"",SUMIFS(INDEX(02_RAW_DATA!$E$2:$U$57,0,MATCH($C27&amp;" [YR"&amp;$C27&amp;"]",02_RAW_DATA!$E$1:$U$1,0)),02_RAW_DATA!$B$2:$B$57,$B27,02_RAW_DATA!$D$2:$D$57,01_README!$C$34))</f>
        <v>48.9681403361987</v>
      </c>
      <c r="L27" s="11" t="n">
        <f aca="false">IF(COUNTIFS(02_RAW_DATA!$B$2:$B$57,$B27,02_RAW_DATA!$D$2:$D$57,01_README!$C$35,INDEX(02_RAW_DATA!$E$2:$U$57,0,MATCH($C27&amp;" [YR"&amp;$C27&amp;"]",02_RAW_DATA!$E$1:$U$1,0)),"&gt;-1E+300")=0,"",SUMIFS(INDEX(02_RAW_DATA!$E$2:$U$57,0,MATCH($C27&amp;" [YR"&amp;$C27&amp;"]",02_RAW_DATA!$E$1:$U$1,0)),02_RAW_DATA!$B$2:$B$57,$B27,02_RAW_DATA!$D$2:$D$57,01_README!$C$35))</f>
        <v>101.581033817373</v>
      </c>
      <c r="M27" s="10" t="n">
        <f aca="false">IF(COUNTIFS(02_RAW_DATA!$B$2:$B$57,$B27,02_RAW_DATA!$D$2:$D$57,01_README!$C$36,INDEX(02_RAW_DATA!$E$2:$U$57,0,MATCH($C27&amp;" [YR"&amp;$C27&amp;"]",02_RAW_DATA!$E$1:$U$1,0)),"&gt;-1E+300")=0,"",SUMIFS(INDEX(02_RAW_DATA!$E$2:$U$57,0,MATCH($C27&amp;" [YR"&amp;$C27&amp;"]",02_RAW_DATA!$E$1:$U$1,0)),02_RAW_DATA!$B$2:$B$57,$B27,02_RAW_DATA!$D$2:$D$57,01_README!$C$36))</f>
        <v>19012000000</v>
      </c>
      <c r="N27" s="11" t="n">
        <f aca="false">IF(COUNTIFS(02_RAW_DATA!$B$2:$B$57,$B27,02_RAW_DATA!$D$2:$D$57,01_README!$C$37,INDEX(02_RAW_DATA!$E$2:$U$57,0,MATCH($C27&amp;" [YR"&amp;$C27&amp;"]",02_RAW_DATA!$E$1:$U$1,0)),"&gt;-1E+300")=0,"",SUMIFS(INDEX(02_RAW_DATA!$E$2:$U$57,0,MATCH($C27&amp;" [YR"&amp;$C27&amp;"]",02_RAW_DATA!$E$1:$U$1,0)),02_RAW_DATA!$B$2:$B$57,$B27,02_RAW_DATA!$D$2:$D$57,01_README!$C$37))</f>
        <v>3.15455649244208</v>
      </c>
      <c r="O27" s="11" t="n">
        <f aca="false">IF(COUNTIFS(02_RAW_DATA!$B$2:$B$57,$B27,02_RAW_DATA!$D$2:$D$57,01_README!$C$38,INDEX(02_RAW_DATA!$E$2:$U$57,0,MATCH($C27&amp;" [YR"&amp;$C27&amp;"]",02_RAW_DATA!$E$1:$U$1,0)),"&gt;-1E+300")=0,"",SUMIFS(INDEX(02_RAW_DATA!$E$2:$U$57,0,MATCH($C27&amp;" [YR"&amp;$C27&amp;"]",02_RAW_DATA!$E$1:$U$1,0)),02_RAW_DATA!$B$2:$B$57,$B27,02_RAW_DATA!$D$2:$D$57,01_README!$C$38))</f>
        <v>16.6614878848919</v>
      </c>
      <c r="P27" s="11" t="n">
        <f aca="false">IF(COUNTIFS(02_RAW_DATA!$B$2:$B$57,$B27,02_RAW_DATA!$D$2:$D$57,01_README!$C$39,INDEX(02_RAW_DATA!$E$2:$U$57,0,MATCH($C27&amp;" [YR"&amp;$C27&amp;"]",02_RAW_DATA!$E$1:$U$1,0)),"&gt;-1E+300")=0,"",SUMIFS(INDEX(02_RAW_DATA!$E$2:$U$57,0,MATCH($C27&amp;" [YR"&amp;$C27&amp;"]",02_RAW_DATA!$E$1:$U$1,0)),02_RAW_DATA!$B$2:$B$57,$B27,02_RAW_DATA!$D$2:$D$57,01_README!$C$39))</f>
        <v>-0.272945793712772</v>
      </c>
      <c r="Q27" s="10" t="n">
        <f aca="false">IF(COUNTIFS(02_RAW_DATA!$B$2:$B$57,$B27,02_RAW_DATA!$D$2:$D$57,01_README!$C$40,INDEX(02_RAW_DATA!$E$2:$U$57,0,MATCH($C27&amp;" [YR"&amp;$C27&amp;"]",02_RAW_DATA!$E$1:$U$1,0)),"&gt;-1E+300")=0,"",SUMIFS(INDEX(02_RAW_DATA!$E$2:$U$57,0,MATCH($C27&amp;" [YR"&amp;$C27&amp;"]",02_RAW_DATA!$E$1:$U$1,0)),02_RAW_DATA!$B$2:$B$57,$B27,02_RAW_DATA!$D$2:$D$57,01_README!$C$40))</f>
        <v>266595000000</v>
      </c>
    </row>
    <row r="28" customFormat="false" ht="15" hidden="false" customHeight="false" outlineLevel="0" collapsed="false">
      <c r="A28" s="8" t="s">
        <v>129</v>
      </c>
      <c r="B28" s="8" t="s">
        <v>130</v>
      </c>
      <c r="C28" s="8" t="n">
        <v>2020</v>
      </c>
      <c r="D28" s="10" t="n">
        <f aca="false">IF(COUNTIFS(02_RAW_DATA!$B$2:$B$57,$B28,02_RAW_DATA!$D$2:$D$57,01_README!$C$27,INDEX(02_RAW_DATA!$E$2:$U$57,0,MATCH($C28&amp;" [YR"&amp;$C28&amp;"]",02_RAW_DATA!$E$1:$U$1,0)),"&gt;-1E+300")=0,"",SUMIFS(INDEX(02_RAW_DATA!$E$2:$U$57,0,MATCH($C28&amp;" [YR"&amp;$C28&amp;"]",02_RAW_DATA!$E$1:$U$1,0)),02_RAW_DATA!$B$2:$B$57,$B28,02_RAW_DATA!$D$2:$D$57,01_README!$C$27))</f>
        <v>605914237903.742</v>
      </c>
      <c r="E28" s="11" t="n">
        <f aca="false">IF(COUNTIFS(02_RAW_DATA!$B$2:$B$57,$B28,02_RAW_DATA!$D$2:$D$57,01_README!$C$28,INDEX(02_RAW_DATA!$E$2:$U$57,0,MATCH($C28&amp;" [YR"&amp;$C28&amp;"]",02_RAW_DATA!$E$1:$U$1,0)),"&gt;-1E+300")=0,"",SUMIFS(INDEX(02_RAW_DATA!$E$2:$U$57,0,MATCH($C28&amp;" [YR"&amp;$C28&amp;"]",02_RAW_DATA!$E$1:$U$1,0)),02_RAW_DATA!$B$2:$B$57,$B28,02_RAW_DATA!$D$2:$D$57,01_README!$C$28))</f>
        <v>-2.03556882399977</v>
      </c>
      <c r="F28" s="10" t="n">
        <f aca="false">IF(COUNTIFS(02_RAW_DATA!$B$2:$B$57,$B28,02_RAW_DATA!$D$2:$D$57,01_README!$C$29,INDEX(02_RAW_DATA!$E$2:$U$57,0,MATCH($C28&amp;" [YR"&amp;$C28&amp;"]",02_RAW_DATA!$E$1:$U$1,0)),"&gt;-1E+300")=0,"",SUMIFS(INDEX(02_RAW_DATA!$E$2:$U$57,0,MATCH($C28&amp;" [YR"&amp;$C28&amp;"]",02_RAW_DATA!$E$1:$U$1,0)),02_RAW_DATA!$B$2:$B$57,$B28,02_RAW_DATA!$D$2:$D$57,01_README!$C$29))</f>
        <v>16150.9304813473</v>
      </c>
      <c r="G28" s="10" t="n">
        <f aca="false">IF(COUNTIFS(02_RAW_DATA!$B$2:$B$57,$B28,02_RAW_DATA!$D$2:$D$57,01_README!$C$30,INDEX(02_RAW_DATA!$E$2:$U$57,0,MATCH($C28&amp;" [YR"&amp;$C28&amp;"]",02_RAW_DATA!$E$1:$U$1,0)),"&gt;-1E+300")=0,"",SUMIFS(INDEX(02_RAW_DATA!$E$2:$U$57,0,MATCH($C28&amp;" [YR"&amp;$C28&amp;"]",02_RAW_DATA!$E$1:$U$1,0)),02_RAW_DATA!$B$2:$B$57,$B28,02_RAW_DATA!$D$2:$D$57,01_README!$C$30))</f>
        <v>317704377851.373</v>
      </c>
      <c r="H28" s="10" t="n">
        <f aca="false">IF(COUNTIFS(02_RAW_DATA!$B$2:$B$57,$B28,02_RAW_DATA!$D$2:$D$57,01_README!$C$31,INDEX(02_RAW_DATA!$E$2:$U$57,0,MATCH($C28&amp;" [YR"&amp;$C28&amp;"]",02_RAW_DATA!$E$1:$U$1,0)),"&gt;-1E+300")=0,"",SUMIFS(INDEX(02_RAW_DATA!$E$2:$U$57,0,MATCH($C28&amp;" [YR"&amp;$C28&amp;"]",02_RAW_DATA!$E$1:$U$1,0)),02_RAW_DATA!$B$2:$B$57,$B28,02_RAW_DATA!$D$2:$D$57,01_README!$C$31))</f>
        <v>299377981164.611</v>
      </c>
      <c r="I28" s="10" t="n">
        <f aca="false">IF(COUNTIFS(02_RAW_DATA!$B$2:$B$57,$B28,02_RAW_DATA!$D$2:$D$57,01_README!$C$32,INDEX(02_RAW_DATA!$E$2:$U$57,0,MATCH($C28&amp;" [YR"&amp;$C28&amp;"]",02_RAW_DATA!$E$1:$U$1,0)),"&gt;-1E+300")=0,"",SUMIFS(INDEX(02_RAW_DATA!$E$2:$U$57,0,MATCH($C28&amp;" [YR"&amp;$C28&amp;"]",02_RAW_DATA!$E$1:$U$1,0)),02_RAW_DATA!$B$2:$B$57,$B28,02_RAW_DATA!$D$2:$D$57,01_README!$C$32))</f>
        <v>283720588327.144</v>
      </c>
      <c r="J28" s="11" t="n">
        <f aca="false">IF(COUNTIFS(02_RAW_DATA!$B$2:$B$57,$B28,02_RAW_DATA!$D$2:$D$57,01_README!$C$33,INDEX(02_RAW_DATA!$E$2:$U$57,0,MATCH($C28&amp;" [YR"&amp;$C28&amp;"]",02_RAW_DATA!$E$1:$U$1,0)),"&gt;-1E+300")=0,"",SUMIFS(INDEX(02_RAW_DATA!$E$2:$U$57,0,MATCH($C28&amp;" [YR"&amp;$C28&amp;"]",02_RAW_DATA!$E$1:$U$1,0)),02_RAW_DATA!$B$2:$B$57,$B28,02_RAW_DATA!$D$2:$D$57,01_README!$C$33))</f>
        <v>52.4338855199248</v>
      </c>
      <c r="K28" s="11" t="n">
        <f aca="false">IF(COUNTIFS(02_RAW_DATA!$B$2:$B$57,$B28,02_RAW_DATA!$D$2:$D$57,01_README!$C$34,INDEX(02_RAW_DATA!$E$2:$U$57,0,MATCH($C28&amp;" [YR"&amp;$C28&amp;"]",02_RAW_DATA!$E$1:$U$1,0)),"&gt;-1E+300")=0,"",SUMIFS(INDEX(02_RAW_DATA!$E$2:$U$57,0,MATCH($C28&amp;" [YR"&amp;$C28&amp;"]",02_RAW_DATA!$E$1:$U$1,0)),02_RAW_DATA!$B$2:$B$57,$B28,02_RAW_DATA!$D$2:$D$57,01_README!$C$34))</f>
        <v>46.8252057104188</v>
      </c>
      <c r="L28" s="11" t="n">
        <f aca="false">IF(COUNTIFS(02_RAW_DATA!$B$2:$B$57,$B28,02_RAW_DATA!$D$2:$D$57,01_README!$C$35,INDEX(02_RAW_DATA!$E$2:$U$57,0,MATCH($C28&amp;" [YR"&amp;$C28&amp;"]",02_RAW_DATA!$E$1:$U$1,0)),"&gt;-1E+300")=0,"",SUMIFS(INDEX(02_RAW_DATA!$E$2:$U$57,0,MATCH($C28&amp;" [YR"&amp;$C28&amp;"]",02_RAW_DATA!$E$1:$U$1,0)),02_RAW_DATA!$B$2:$B$57,$B28,02_RAW_DATA!$D$2:$D$57,01_README!$C$35))</f>
        <v>99.2590912303436</v>
      </c>
      <c r="M28" s="10" t="n">
        <f aca="false">IF(COUNTIFS(02_RAW_DATA!$B$2:$B$57,$B28,02_RAW_DATA!$D$2:$D$57,01_README!$C$36,INDEX(02_RAW_DATA!$E$2:$U$57,0,MATCH($C28&amp;" [YR"&amp;$C28&amp;"]",02_RAW_DATA!$E$1:$U$1,0)),"&gt;-1E+300")=0,"",SUMIFS(INDEX(02_RAW_DATA!$E$2:$U$57,0,MATCH($C28&amp;" [YR"&amp;$C28&amp;"]",02_RAW_DATA!$E$1:$U$1,0)),02_RAW_DATA!$B$2:$B$57,$B28,02_RAW_DATA!$D$2:$D$57,01_README!$C$36))</f>
        <v>20086000000</v>
      </c>
      <c r="N28" s="11" t="n">
        <f aca="false">IF(COUNTIFS(02_RAW_DATA!$B$2:$B$57,$B28,02_RAW_DATA!$D$2:$D$57,01_README!$C$37,INDEX(02_RAW_DATA!$E$2:$U$57,0,MATCH($C28&amp;" [YR"&amp;$C28&amp;"]",02_RAW_DATA!$E$1:$U$1,0)),"&gt;-1E+300")=0,"",SUMIFS(INDEX(02_RAW_DATA!$E$2:$U$57,0,MATCH($C28&amp;" [YR"&amp;$C28&amp;"]",02_RAW_DATA!$E$1:$U$1,0)),02_RAW_DATA!$B$2:$B$57,$B28,02_RAW_DATA!$D$2:$D$57,01_README!$C$37))</f>
        <v>3.31499059495462</v>
      </c>
      <c r="O28" s="11" t="n">
        <f aca="false">IF(COUNTIFS(02_RAW_DATA!$B$2:$B$57,$B28,02_RAW_DATA!$D$2:$D$57,01_README!$C$38,INDEX(02_RAW_DATA!$E$2:$U$57,0,MATCH($C28&amp;" [YR"&amp;$C28&amp;"]",02_RAW_DATA!$E$1:$U$1,0)),"&gt;-1E+300")=0,"",SUMIFS(INDEX(02_RAW_DATA!$E$2:$U$57,0,MATCH($C28&amp;" [YR"&amp;$C28&amp;"]",02_RAW_DATA!$E$1:$U$1,0)),02_RAW_DATA!$B$2:$B$57,$B28,02_RAW_DATA!$D$2:$D$57,01_README!$C$38))</f>
        <v>16.2083685829628</v>
      </c>
      <c r="P28" s="11" t="n">
        <f aca="false">IF(COUNTIFS(02_RAW_DATA!$B$2:$B$57,$B28,02_RAW_DATA!$D$2:$D$57,01_README!$C$39,INDEX(02_RAW_DATA!$E$2:$U$57,0,MATCH($C28&amp;" [YR"&amp;$C28&amp;"]",02_RAW_DATA!$E$1:$U$1,0)),"&gt;-1E+300")=0,"",SUMIFS(INDEX(02_RAW_DATA!$E$2:$U$57,0,MATCH($C28&amp;" [YR"&amp;$C28&amp;"]",02_RAW_DATA!$E$1:$U$1,0)),02_RAW_DATA!$B$2:$B$57,$B28,02_RAW_DATA!$D$2:$D$57,01_README!$C$39))</f>
        <v>2.39835922164097</v>
      </c>
      <c r="Q28" s="10" t="n">
        <f aca="false">IF(COUNTIFS(02_RAW_DATA!$B$2:$B$57,$B28,02_RAW_DATA!$D$2:$D$57,01_README!$C$40,INDEX(02_RAW_DATA!$E$2:$U$57,0,MATCH($C28&amp;" [YR"&amp;$C28&amp;"]",02_RAW_DATA!$E$1:$U$1,0)),"&gt;-1E+300")=0,"",SUMIFS(INDEX(02_RAW_DATA!$E$2:$U$57,0,MATCH($C28&amp;" [YR"&amp;$C28&amp;"]",02_RAW_DATA!$E$1:$U$1,0)),02_RAW_DATA!$B$2:$B$57,$B28,02_RAW_DATA!$D$2:$D$57,01_README!$C$40))</f>
        <v>273835000000</v>
      </c>
    </row>
    <row r="29" customFormat="false" ht="15" hidden="false" customHeight="false" outlineLevel="0" collapsed="false">
      <c r="A29" s="8" t="s">
        <v>129</v>
      </c>
      <c r="B29" s="8" t="s">
        <v>130</v>
      </c>
      <c r="C29" s="8" t="n">
        <v>2021</v>
      </c>
      <c r="D29" s="10" t="n">
        <f aca="false">IF(COUNTIFS(02_RAW_DATA!$B$2:$B$57,$B29,02_RAW_DATA!$D$2:$D$57,01_README!$C$27,INDEX(02_RAW_DATA!$E$2:$U$57,0,MATCH($C29&amp;" [YR"&amp;$C29&amp;"]",02_RAW_DATA!$E$1:$U$1,0)),"&gt;-1E+300")=0,"",SUMIFS(INDEX(02_RAW_DATA!$E$2:$U$57,0,MATCH($C29&amp;" [YR"&amp;$C29&amp;"]",02_RAW_DATA!$E$1:$U$1,0)),02_RAW_DATA!$B$2:$B$57,$B29,02_RAW_DATA!$D$2:$D$57,01_README!$C$27))</f>
        <v>689170230665.35</v>
      </c>
      <c r="E29" s="11" t="n">
        <f aca="false">IF(COUNTIFS(02_RAW_DATA!$B$2:$B$57,$B29,02_RAW_DATA!$D$2:$D$57,01_README!$C$28,INDEX(02_RAW_DATA!$E$2:$U$57,0,MATCH($C29&amp;" [YR"&amp;$C29&amp;"]",02_RAW_DATA!$E$1:$U$1,0)),"&gt;-1E+300")=0,"",SUMIFS(INDEX(02_RAW_DATA!$E$2:$U$57,0,MATCH($C29&amp;" [YR"&amp;$C29&amp;"]",02_RAW_DATA!$E$1:$U$1,0)),02_RAW_DATA!$B$2:$B$57,$B29,02_RAW_DATA!$D$2:$D$57,01_README!$C$28))</f>
        <v>6.92718266052501</v>
      </c>
      <c r="F29" s="10" t="n">
        <f aca="false">IF(COUNTIFS(02_RAW_DATA!$B$2:$B$57,$B29,02_RAW_DATA!$D$2:$D$57,01_README!$C$29,INDEX(02_RAW_DATA!$E$2:$U$57,0,MATCH($C29&amp;" [YR"&amp;$C29&amp;"]",02_RAW_DATA!$E$1:$U$1,0)),"&gt;-1E+300")=0,"",SUMIFS(INDEX(02_RAW_DATA!$E$2:$U$57,0,MATCH($C29&amp;" [YR"&amp;$C29&amp;"]",02_RAW_DATA!$E$1:$U$1,0)),02_RAW_DATA!$B$2:$B$57,$B29,02_RAW_DATA!$D$2:$D$57,01_README!$C$29))</f>
        <v>18635.5104895754</v>
      </c>
      <c r="G29" s="10" t="n">
        <f aca="false">IF(COUNTIFS(02_RAW_DATA!$B$2:$B$57,$B29,02_RAW_DATA!$D$2:$D$57,01_README!$C$30,INDEX(02_RAW_DATA!$E$2:$U$57,0,MATCH($C29&amp;" [YR"&amp;$C29&amp;"]",02_RAW_DATA!$E$1:$U$1,0)),"&gt;-1E+300")=0,"",SUMIFS(INDEX(02_RAW_DATA!$E$2:$U$57,0,MATCH($C29&amp;" [YR"&amp;$C29&amp;"]",02_RAW_DATA!$E$1:$U$1,0)),02_RAW_DATA!$B$2:$B$57,$B29,02_RAW_DATA!$D$2:$D$57,01_README!$C$30))</f>
        <v>393088751264.328</v>
      </c>
      <c r="H29" s="10" t="n">
        <f aca="false">IF(COUNTIFS(02_RAW_DATA!$B$2:$B$57,$B29,02_RAW_DATA!$D$2:$D$57,01_README!$C$31,INDEX(02_RAW_DATA!$E$2:$U$57,0,MATCH($C29&amp;" [YR"&amp;$C29&amp;"]",02_RAW_DATA!$E$1:$U$1,0)),"&gt;-1E+300")=0,"",SUMIFS(INDEX(02_RAW_DATA!$E$2:$U$57,0,MATCH($C29&amp;" [YR"&amp;$C29&amp;"]",02_RAW_DATA!$E$1:$U$1,0)),02_RAW_DATA!$B$2:$B$57,$B29,02_RAW_DATA!$D$2:$D$57,01_README!$C$31))</f>
        <v>336210956360.26</v>
      </c>
      <c r="I29" s="10" t="n">
        <f aca="false">IF(COUNTIFS(02_RAW_DATA!$B$2:$B$57,$B29,02_RAW_DATA!$D$2:$D$57,01_README!$C$32,INDEX(02_RAW_DATA!$E$2:$U$57,0,MATCH($C29&amp;" [YR"&amp;$C29&amp;"]",02_RAW_DATA!$E$1:$U$1,0)),"&gt;-1E+300")=0,"",SUMIFS(INDEX(02_RAW_DATA!$E$2:$U$57,0,MATCH($C29&amp;" [YR"&amp;$C29&amp;"]",02_RAW_DATA!$E$1:$U$1,0)),02_RAW_DATA!$B$2:$B$57,$B29,02_RAW_DATA!$D$2:$D$57,01_README!$C$32))</f>
        <v>371023800786.561</v>
      </c>
      <c r="J29" s="11" t="n">
        <f aca="false">IF(COUNTIFS(02_RAW_DATA!$B$2:$B$57,$B29,02_RAW_DATA!$D$2:$D$57,01_README!$C$33,INDEX(02_RAW_DATA!$E$2:$U$57,0,MATCH($C29&amp;" [YR"&amp;$C29&amp;"]",02_RAW_DATA!$E$1:$U$1,0)),"&gt;-1E+300")=0,"",SUMIFS(INDEX(02_RAW_DATA!$E$2:$U$57,0,MATCH($C29&amp;" [YR"&amp;$C29&amp;"]",02_RAW_DATA!$E$1:$U$1,0)),02_RAW_DATA!$B$2:$B$57,$B29,02_RAW_DATA!$D$2:$D$57,01_README!$C$33))</f>
        <v>57.0379760723016</v>
      </c>
      <c r="K29" s="11" t="n">
        <f aca="false">IF(COUNTIFS(02_RAW_DATA!$B$2:$B$57,$B29,02_RAW_DATA!$D$2:$D$57,01_README!$C$34,INDEX(02_RAW_DATA!$E$2:$U$57,0,MATCH($C29&amp;" [YR"&amp;$C29&amp;"]",02_RAW_DATA!$E$1:$U$1,0)),"&gt;-1E+300")=0,"",SUMIFS(INDEX(02_RAW_DATA!$E$2:$U$57,0,MATCH($C29&amp;" [YR"&amp;$C29&amp;"]",02_RAW_DATA!$E$1:$U$1,0)),02_RAW_DATA!$B$2:$B$57,$B29,02_RAW_DATA!$D$2:$D$57,01_README!$C$34))</f>
        <v>53.836306949643</v>
      </c>
      <c r="L29" s="11" t="n">
        <f aca="false">IF(COUNTIFS(02_RAW_DATA!$B$2:$B$57,$B29,02_RAW_DATA!$D$2:$D$57,01_README!$C$35,INDEX(02_RAW_DATA!$E$2:$U$57,0,MATCH($C29&amp;" [YR"&amp;$C29&amp;"]",02_RAW_DATA!$E$1:$U$1,0)),"&gt;-1E+300")=0,"",SUMIFS(INDEX(02_RAW_DATA!$E$2:$U$57,0,MATCH($C29&amp;" [YR"&amp;$C29&amp;"]",02_RAW_DATA!$E$1:$U$1,0)),02_RAW_DATA!$B$2:$B$57,$B29,02_RAW_DATA!$D$2:$D$57,01_README!$C$35))</f>
        <v>110.874283021945</v>
      </c>
      <c r="M29" s="10" t="n">
        <f aca="false">IF(COUNTIFS(02_RAW_DATA!$B$2:$B$57,$B29,02_RAW_DATA!$D$2:$D$57,01_README!$C$36,INDEX(02_RAW_DATA!$E$2:$U$57,0,MATCH($C29&amp;" [YR"&amp;$C29&amp;"]",02_RAW_DATA!$E$1:$U$1,0)),"&gt;-1E+300")=0,"",SUMIFS(INDEX(02_RAW_DATA!$E$2:$U$57,0,MATCH($C29&amp;" [YR"&amp;$C29&amp;"]",02_RAW_DATA!$E$1:$U$1,0)),02_RAW_DATA!$B$2:$B$57,$B29,02_RAW_DATA!$D$2:$D$57,01_README!$C$36))</f>
        <v>37512000000</v>
      </c>
      <c r="N29" s="11" t="n">
        <f aca="false">IF(COUNTIFS(02_RAW_DATA!$B$2:$B$57,$B29,02_RAW_DATA!$D$2:$D$57,01_README!$C$37,INDEX(02_RAW_DATA!$E$2:$U$57,0,MATCH($C29&amp;" [YR"&amp;$C29&amp;"]",02_RAW_DATA!$E$1:$U$1,0)),"&gt;-1E+300")=0,"",SUMIFS(INDEX(02_RAW_DATA!$E$2:$U$57,0,MATCH($C29&amp;" [YR"&amp;$C29&amp;"]",02_RAW_DATA!$E$1:$U$1,0)),02_RAW_DATA!$B$2:$B$57,$B29,02_RAW_DATA!$D$2:$D$57,01_README!$C$37))</f>
        <v>5.44306737738578</v>
      </c>
      <c r="O29" s="11" t="n">
        <f aca="false">IF(COUNTIFS(02_RAW_DATA!$B$2:$B$57,$B29,02_RAW_DATA!$D$2:$D$57,01_README!$C$38,INDEX(02_RAW_DATA!$E$2:$U$57,0,MATCH($C29&amp;" [YR"&amp;$C29&amp;"]",02_RAW_DATA!$E$1:$U$1,0)),"&gt;-1E+300")=0,"",SUMIFS(INDEX(02_RAW_DATA!$E$2:$U$57,0,MATCH($C29&amp;" [YR"&amp;$C29&amp;"]",02_RAW_DATA!$E$1:$U$1,0)),02_RAW_DATA!$B$2:$B$57,$B29,02_RAW_DATA!$D$2:$D$57,01_README!$C$38))</f>
        <v>17.3006156636927</v>
      </c>
      <c r="P29" s="11" t="n">
        <f aca="false">IF(COUNTIFS(02_RAW_DATA!$B$2:$B$57,$B29,02_RAW_DATA!$D$2:$D$57,01_README!$C$39,INDEX(02_RAW_DATA!$E$2:$U$57,0,MATCH($C29&amp;" [YR"&amp;$C29&amp;"]",02_RAW_DATA!$E$1:$U$1,0)),"&gt;-1E+300")=0,"",SUMIFS(INDEX(02_RAW_DATA!$E$2:$U$57,0,MATCH($C29&amp;" [YR"&amp;$C29&amp;"]",02_RAW_DATA!$E$1:$U$1,0)),02_RAW_DATA!$B$2:$B$57,$B29,02_RAW_DATA!$D$2:$D$57,01_README!$C$39))</f>
        <v>-1.30156521580162</v>
      </c>
      <c r="Q29" s="10" t="n">
        <f aca="false">IF(COUNTIFS(02_RAW_DATA!$B$2:$B$57,$B29,02_RAW_DATA!$D$2:$D$57,01_README!$C$40,INDEX(02_RAW_DATA!$E$2:$U$57,0,MATCH($C29&amp;" [YR"&amp;$C29&amp;"]",02_RAW_DATA!$E$1:$U$1,0)),"&gt;-1E+300")=0,"",SUMIFS(INDEX(02_RAW_DATA!$E$2:$U$57,0,MATCH($C29&amp;" [YR"&amp;$C29&amp;"]",02_RAW_DATA!$E$1:$U$1,0)),02_RAW_DATA!$B$2:$B$57,$B29,02_RAW_DATA!$D$2:$D$57,01_README!$C$40))</f>
        <v>340634000000</v>
      </c>
    </row>
    <row r="30" customFormat="false" ht="15" hidden="false" customHeight="false" outlineLevel="0" collapsed="false">
      <c r="A30" s="8" t="s">
        <v>129</v>
      </c>
      <c r="B30" s="8" t="s">
        <v>130</v>
      </c>
      <c r="C30" s="8" t="n">
        <v>2022</v>
      </c>
      <c r="D30" s="10" t="n">
        <f aca="false">IF(COUNTIFS(02_RAW_DATA!$B$2:$B$57,$B30,02_RAW_DATA!$D$2:$D$57,01_README!$C$27,INDEX(02_RAW_DATA!$E$2:$U$57,0,MATCH($C30&amp;" [YR"&amp;$C30&amp;"]",02_RAW_DATA!$E$1:$U$1,0)),"&gt;-1E+300")=0,"",SUMIFS(INDEX(02_RAW_DATA!$E$2:$U$57,0,MATCH($C30&amp;" [YR"&amp;$C30&amp;"]",02_RAW_DATA!$E$1:$U$1,0)),02_RAW_DATA!$B$2:$B$57,$B30,02_RAW_DATA!$D$2:$D$57,01_README!$C$27))</f>
        <v>695607470875.276</v>
      </c>
      <c r="E30" s="11" t="n">
        <f aca="false">IF(COUNTIFS(02_RAW_DATA!$B$2:$B$57,$B30,02_RAW_DATA!$D$2:$D$57,01_README!$C$28,INDEX(02_RAW_DATA!$E$2:$U$57,0,MATCH($C30&amp;" [YR"&amp;$C30&amp;"]",02_RAW_DATA!$E$1:$U$1,0)),"&gt;-1E+300")=0,"",SUMIFS(INDEX(02_RAW_DATA!$E$2:$U$57,0,MATCH($C30&amp;" [YR"&amp;$C30&amp;"]",02_RAW_DATA!$E$1:$U$1,0)),02_RAW_DATA!$B$2:$B$57,$B30,02_RAW_DATA!$D$2:$D$57,01_README!$C$28))</f>
        <v>5.25545697386036</v>
      </c>
      <c r="F30" s="10" t="n">
        <f aca="false">IF(COUNTIFS(02_RAW_DATA!$B$2:$B$57,$B30,02_RAW_DATA!$D$2:$D$57,01_README!$C$29,INDEX(02_RAW_DATA!$E$2:$U$57,0,MATCH($C30&amp;" [YR"&amp;$C30&amp;"]",02_RAW_DATA!$E$1:$U$1,0)),"&gt;-1E+300")=0,"",SUMIFS(INDEX(02_RAW_DATA!$E$2:$U$57,0,MATCH($C30&amp;" [YR"&amp;$C30&amp;"]",02_RAW_DATA!$E$1:$U$1,0)),02_RAW_DATA!$B$2:$B$57,$B30,02_RAW_DATA!$D$2:$D$57,01_README!$C$29))</f>
        <v>18891.2121169279</v>
      </c>
      <c r="G30" s="10" t="n">
        <f aca="false">IF(COUNTIFS(02_RAW_DATA!$B$2:$B$57,$B30,02_RAW_DATA!$D$2:$D$57,01_README!$C$30,INDEX(02_RAW_DATA!$E$2:$U$57,0,MATCH($C30&amp;" [YR"&amp;$C30&amp;"]",02_RAW_DATA!$E$1:$U$1,0)),"&gt;-1E+300")=0,"",SUMIFS(INDEX(02_RAW_DATA!$E$2:$U$57,0,MATCH($C30&amp;" [YR"&amp;$C30&amp;"]",02_RAW_DATA!$E$1:$U$1,0)),02_RAW_DATA!$B$2:$B$57,$B30,02_RAW_DATA!$D$2:$D$57,01_README!$C$30))</f>
        <v>433728761282.735</v>
      </c>
      <c r="H30" s="10" t="n">
        <f aca="false">IF(COUNTIFS(02_RAW_DATA!$B$2:$B$57,$B30,02_RAW_DATA!$D$2:$D$57,01_README!$C$31,INDEX(02_RAW_DATA!$E$2:$U$57,0,MATCH($C30&amp;" [YR"&amp;$C30&amp;"]",02_RAW_DATA!$E$1:$U$1,0)),"&gt;-1E+300")=0,"",SUMIFS(INDEX(02_RAW_DATA!$E$2:$U$57,0,MATCH($C30&amp;" [YR"&amp;$C30&amp;"]",02_RAW_DATA!$E$1:$U$1,0)),02_RAW_DATA!$B$2:$B$57,$B30,02_RAW_DATA!$D$2:$D$57,01_README!$C$31))</f>
        <v>361109563602.6</v>
      </c>
      <c r="I30" s="10" t="n">
        <f aca="false">IF(COUNTIFS(02_RAW_DATA!$B$2:$B$57,$B30,02_RAW_DATA!$D$2:$D$57,01_README!$C$32,INDEX(02_RAW_DATA!$E$2:$U$57,0,MATCH($C30&amp;" [YR"&amp;$C30&amp;"]",02_RAW_DATA!$E$1:$U$1,0)),"&gt;-1E+300")=0,"",SUMIFS(INDEX(02_RAW_DATA!$E$2:$U$57,0,MATCH($C30&amp;" [YR"&amp;$C30&amp;"]",02_RAW_DATA!$E$1:$U$1,0)),02_RAW_DATA!$B$2:$B$57,$B30,02_RAW_DATA!$D$2:$D$57,01_README!$C$32))</f>
        <v>422016820864.164</v>
      </c>
      <c r="J30" s="11" t="n">
        <f aca="false">IF(COUNTIFS(02_RAW_DATA!$B$2:$B$57,$B30,02_RAW_DATA!$D$2:$D$57,01_README!$C$33,INDEX(02_RAW_DATA!$E$2:$U$57,0,MATCH($C30&amp;" [YR"&amp;$C30&amp;"]",02_RAW_DATA!$E$1:$U$1,0)),"&gt;-1E+300")=0,"",SUMIFS(INDEX(02_RAW_DATA!$E$2:$U$57,0,MATCH($C30&amp;" [YR"&amp;$C30&amp;"]",02_RAW_DATA!$E$1:$U$1,0)),02_RAW_DATA!$B$2:$B$57,$B30,02_RAW_DATA!$D$2:$D$57,01_README!$C$33))</f>
        <v>62.3525162455456</v>
      </c>
      <c r="K30" s="11" t="n">
        <f aca="false">IF(COUNTIFS(02_RAW_DATA!$B$2:$B$57,$B30,02_RAW_DATA!$D$2:$D$57,01_README!$C$34,INDEX(02_RAW_DATA!$E$2:$U$57,0,MATCH($C30&amp;" [YR"&amp;$C30&amp;"]",02_RAW_DATA!$E$1:$U$1,0)),"&gt;-1E+300")=0,"",SUMIFS(INDEX(02_RAW_DATA!$E$2:$U$57,0,MATCH($C30&amp;" [YR"&amp;$C30&amp;"]",02_RAW_DATA!$E$1:$U$1,0)),02_RAW_DATA!$B$2:$B$57,$B30,02_RAW_DATA!$D$2:$D$57,01_README!$C$34))</f>
        <v>60.6688166147992</v>
      </c>
      <c r="L30" s="11" t="n">
        <f aca="false">IF(COUNTIFS(02_RAW_DATA!$B$2:$B$57,$B30,02_RAW_DATA!$D$2:$D$57,01_README!$C$35,INDEX(02_RAW_DATA!$E$2:$U$57,0,MATCH($C30&amp;" [YR"&amp;$C30&amp;"]",02_RAW_DATA!$E$1:$U$1,0)),"&gt;-1E+300")=0,"",SUMIFS(INDEX(02_RAW_DATA!$E$2:$U$57,0,MATCH($C30&amp;" [YR"&amp;$C30&amp;"]",02_RAW_DATA!$E$1:$U$1,0)),02_RAW_DATA!$B$2:$B$57,$B30,02_RAW_DATA!$D$2:$D$57,01_README!$C$35))</f>
        <v>123.021332860345</v>
      </c>
      <c r="M30" s="10" t="n">
        <f aca="false">IF(COUNTIFS(02_RAW_DATA!$B$2:$B$57,$B30,02_RAW_DATA!$D$2:$D$57,01_README!$C$36,INDEX(02_RAW_DATA!$E$2:$U$57,0,MATCH($C30&amp;" [YR"&amp;$C30&amp;"]",02_RAW_DATA!$E$1:$U$1,0)),"&gt;-1E+300")=0,"",SUMIFS(INDEX(02_RAW_DATA!$E$2:$U$57,0,MATCH($C30&amp;" [YR"&amp;$C30&amp;"]",02_RAW_DATA!$E$1:$U$1,0)),02_RAW_DATA!$B$2:$B$57,$B30,02_RAW_DATA!$D$2:$D$57,01_README!$C$36))</f>
        <v>41780000000</v>
      </c>
      <c r="N30" s="11" t="n">
        <f aca="false">IF(COUNTIFS(02_RAW_DATA!$B$2:$B$57,$B30,02_RAW_DATA!$D$2:$D$57,01_README!$C$37,INDEX(02_RAW_DATA!$E$2:$U$57,0,MATCH($C30&amp;" [YR"&amp;$C30&amp;"]",02_RAW_DATA!$E$1:$U$1,0)),"&gt;-1E+300")=0,"",SUMIFS(INDEX(02_RAW_DATA!$E$2:$U$57,0,MATCH($C30&amp;" [YR"&amp;$C30&amp;"]",02_RAW_DATA!$E$1:$U$1,0)),02_RAW_DATA!$B$2:$B$57,$B30,02_RAW_DATA!$D$2:$D$57,01_README!$C$37))</f>
        <v>6.00626096603428</v>
      </c>
      <c r="O30" s="11" t="n">
        <f aca="false">IF(COUNTIFS(02_RAW_DATA!$B$2:$B$57,$B30,02_RAW_DATA!$D$2:$D$57,01_README!$C$38,INDEX(02_RAW_DATA!$E$2:$U$57,0,MATCH($C30&amp;" [YR"&amp;$C30&amp;"]",02_RAW_DATA!$E$1:$U$1,0)),"&gt;-1E+300")=0,"",SUMIFS(INDEX(02_RAW_DATA!$E$2:$U$57,0,MATCH($C30&amp;" [YR"&amp;$C30&amp;"]",02_RAW_DATA!$E$1:$U$1,0)),02_RAW_DATA!$B$2:$B$57,$B30,02_RAW_DATA!$D$2:$D$57,01_README!$C$38))</f>
        <v>17.6513214118709</v>
      </c>
      <c r="P30" s="11" t="n">
        <f aca="false">IF(COUNTIFS(02_RAW_DATA!$B$2:$B$57,$B30,02_RAW_DATA!$D$2:$D$57,01_README!$C$39,INDEX(02_RAW_DATA!$E$2:$U$57,0,MATCH($C30&amp;" [YR"&amp;$C30&amp;"]",02_RAW_DATA!$E$1:$U$1,0)),"&gt;-1E+300")=0,"",SUMIFS(INDEX(02_RAW_DATA!$E$2:$U$57,0,MATCH($C30&amp;" [YR"&amp;$C30&amp;"]",02_RAW_DATA!$E$1:$U$1,0)),02_RAW_DATA!$B$2:$B$57,$B30,02_RAW_DATA!$D$2:$D$57,01_README!$C$39))</f>
        <v>-2.27455866454271</v>
      </c>
      <c r="Q30" s="10" t="n">
        <f aca="false">IF(COUNTIFS(02_RAW_DATA!$B$2:$B$57,$B30,02_RAW_DATA!$D$2:$D$57,01_README!$C$40,INDEX(02_RAW_DATA!$E$2:$U$57,0,MATCH($C30&amp;" [YR"&amp;$C30&amp;"]",02_RAW_DATA!$E$1:$U$1,0)),"&gt;-1E+300")=0,"",SUMIFS(INDEX(02_RAW_DATA!$E$2:$U$57,0,MATCH($C30&amp;" [YR"&amp;$C30&amp;"]",02_RAW_DATA!$E$1:$U$1,0)),02_RAW_DATA!$B$2:$B$57,$B30,02_RAW_DATA!$D$2:$D$57,01_README!$C$40))</f>
        <v>360542000000</v>
      </c>
    </row>
    <row r="31" customFormat="false" ht="15" hidden="false" customHeight="false" outlineLevel="0" collapsed="false">
      <c r="A31" s="8" t="s">
        <v>129</v>
      </c>
      <c r="B31" s="8" t="s">
        <v>130</v>
      </c>
      <c r="C31" s="8" t="n">
        <v>2023</v>
      </c>
      <c r="D31" s="10" t="n">
        <f aca="false">IF(COUNTIFS(02_RAW_DATA!$B$2:$B$57,$B31,02_RAW_DATA!$D$2:$D$57,01_README!$C$27,INDEX(02_RAW_DATA!$E$2:$U$57,0,MATCH($C31&amp;" [YR"&amp;$C31&amp;"]",02_RAW_DATA!$E$1:$U$1,0)),"&gt;-1E+300")=0,"",SUMIFS(INDEX(02_RAW_DATA!$E$2:$U$57,0,MATCH($C31&amp;" [YR"&amp;$C31&amp;"]",02_RAW_DATA!$E$1:$U$1,0)),02_RAW_DATA!$B$2:$B$57,$B31,02_RAW_DATA!$D$2:$D$57,01_README!$C$27))</f>
        <v>812451193396.143</v>
      </c>
      <c r="E31" s="11" t="n">
        <f aca="false">IF(COUNTIFS(02_RAW_DATA!$B$2:$B$57,$B31,02_RAW_DATA!$D$2:$D$57,01_README!$C$28,INDEX(02_RAW_DATA!$E$2:$U$57,0,MATCH($C31&amp;" [YR"&amp;$C31&amp;"]",02_RAW_DATA!$E$1:$U$1,0)),"&gt;-1E+300")=0,"",SUMIFS(INDEX(02_RAW_DATA!$E$2:$U$57,0,MATCH($C31&amp;" [YR"&amp;$C31&amp;"]",02_RAW_DATA!$E$1:$U$1,0)),02_RAW_DATA!$B$2:$B$57,$B31,02_RAW_DATA!$D$2:$D$57,01_README!$C$28))</f>
        <v>0.249610834017872</v>
      </c>
      <c r="F31" s="10" t="n">
        <f aca="false">IF(COUNTIFS(02_RAW_DATA!$B$2:$B$57,$B31,02_RAW_DATA!$D$2:$D$57,01_README!$C$29,INDEX(02_RAW_DATA!$E$2:$U$57,0,MATCH($C31&amp;" [YR"&amp;$C31&amp;"]",02_RAW_DATA!$E$1:$U$1,0)),"&gt;-1E+300")=0,"",SUMIFS(INDEX(02_RAW_DATA!$E$2:$U$57,0,MATCH($C31&amp;" [YR"&amp;$C31&amp;"]",02_RAW_DATA!$E$1:$U$1,0)),02_RAW_DATA!$B$2:$B$57,$B31,02_RAW_DATA!$D$2:$D$57,01_README!$C$29))</f>
        <v>22145.2660647429</v>
      </c>
      <c r="G31" s="10" t="n">
        <f aca="false">IF(COUNTIFS(02_RAW_DATA!$B$2:$B$57,$B31,02_RAW_DATA!$D$2:$D$57,01_README!$C$30,INDEX(02_RAW_DATA!$E$2:$U$57,0,MATCH($C31&amp;" [YR"&amp;$C31&amp;"]",02_RAW_DATA!$E$1:$U$1,0)),"&gt;-1E+300")=0,"",SUMIFS(INDEX(02_RAW_DATA!$E$2:$U$57,0,MATCH($C31&amp;" [YR"&amp;$C31&amp;"]",02_RAW_DATA!$E$1:$U$1,0)),02_RAW_DATA!$B$2:$B$57,$B31,02_RAW_DATA!$D$2:$D$57,01_README!$C$30))</f>
        <v>470257077151.136</v>
      </c>
      <c r="H31" s="10" t="n">
        <f aca="false">IF(COUNTIFS(02_RAW_DATA!$B$2:$B$57,$B31,02_RAW_DATA!$D$2:$D$57,01_README!$C$31,INDEX(02_RAW_DATA!$E$2:$U$57,0,MATCH($C31&amp;" [YR"&amp;$C31&amp;"]",02_RAW_DATA!$E$1:$U$1,0)),"&gt;-1E+300")=0,"",SUMIFS(INDEX(02_RAW_DATA!$E$2:$U$57,0,MATCH($C31&amp;" [YR"&amp;$C31&amp;"]",02_RAW_DATA!$E$1:$U$1,0)),02_RAW_DATA!$B$2:$B$57,$B31,02_RAW_DATA!$D$2:$D$57,01_README!$C$31))</f>
        <v>374530972277.49</v>
      </c>
      <c r="I31" s="10" t="n">
        <f aca="false">IF(COUNTIFS(02_RAW_DATA!$B$2:$B$57,$B31,02_RAW_DATA!$D$2:$D$57,01_README!$C$32,INDEX(02_RAW_DATA!$E$2:$U$57,0,MATCH($C31&amp;" [YR"&amp;$C31&amp;"]",02_RAW_DATA!$E$1:$U$1,0)),"&gt;-1E+300")=0,"",SUMIFS(INDEX(02_RAW_DATA!$E$2:$U$57,0,MATCH($C31&amp;" [YR"&amp;$C31&amp;"]",02_RAW_DATA!$E$1:$U$1,0)),02_RAW_DATA!$B$2:$B$57,$B31,02_RAW_DATA!$D$2:$D$57,01_README!$C$32))</f>
        <v>423641820629.422</v>
      </c>
      <c r="J31" s="11" t="n">
        <f aca="false">IF(COUNTIFS(02_RAW_DATA!$B$2:$B$57,$B31,02_RAW_DATA!$D$2:$D$57,01_README!$C$33,INDEX(02_RAW_DATA!$E$2:$U$57,0,MATCH($C31&amp;" [YR"&amp;$C31&amp;"]",02_RAW_DATA!$E$1:$U$1,0)),"&gt;-1E+300")=0,"",SUMIFS(INDEX(02_RAW_DATA!$E$2:$U$57,0,MATCH($C31&amp;" [YR"&amp;$C31&amp;"]",02_RAW_DATA!$E$1:$U$1,0)),02_RAW_DATA!$B$2:$B$57,$B31,02_RAW_DATA!$D$2:$D$57,01_README!$C$33))</f>
        <v>57.8812710195434</v>
      </c>
      <c r="K31" s="11" t="n">
        <f aca="false">IF(COUNTIFS(02_RAW_DATA!$B$2:$B$57,$B31,02_RAW_DATA!$D$2:$D$57,01_README!$C$34,INDEX(02_RAW_DATA!$E$2:$U$57,0,MATCH($C31&amp;" [YR"&amp;$C31&amp;"]",02_RAW_DATA!$E$1:$U$1,0)),"&gt;-1E+300")=0,"",SUMIFS(INDEX(02_RAW_DATA!$E$2:$U$57,0,MATCH($C31&amp;" [YR"&amp;$C31&amp;"]",02_RAW_DATA!$E$1:$U$1,0)),02_RAW_DATA!$B$2:$B$57,$B31,02_RAW_DATA!$D$2:$D$57,01_README!$C$34))</f>
        <v>52.1436640222717</v>
      </c>
      <c r="L31" s="11" t="n">
        <f aca="false">IF(COUNTIFS(02_RAW_DATA!$B$2:$B$57,$B31,02_RAW_DATA!$D$2:$D$57,01_README!$C$35,INDEX(02_RAW_DATA!$E$2:$U$57,0,MATCH($C31&amp;" [YR"&amp;$C31&amp;"]",02_RAW_DATA!$E$1:$U$1,0)),"&gt;-1E+300")=0,"",SUMIFS(INDEX(02_RAW_DATA!$E$2:$U$57,0,MATCH($C31&amp;" [YR"&amp;$C31&amp;"]",02_RAW_DATA!$E$1:$U$1,0)),02_RAW_DATA!$B$2:$B$57,$B31,02_RAW_DATA!$D$2:$D$57,01_README!$C$35))</f>
        <v>110.024935041815</v>
      </c>
      <c r="M31" s="10" t="n">
        <f aca="false">IF(COUNTIFS(02_RAW_DATA!$B$2:$B$57,$B31,02_RAW_DATA!$D$2:$D$57,01_README!$C$36,INDEX(02_RAW_DATA!$E$2:$U$57,0,MATCH($C31&amp;" [YR"&amp;$C31&amp;"]",02_RAW_DATA!$E$1:$U$1,0)),"&gt;-1E+300")=0,"",SUMIFS(INDEX(02_RAW_DATA!$E$2:$U$57,0,MATCH($C31&amp;" [YR"&amp;$C31&amp;"]",02_RAW_DATA!$E$1:$U$1,0)),02_RAW_DATA!$B$2:$B$57,$B31,02_RAW_DATA!$D$2:$D$57,01_README!$C$36))</f>
        <v>35660000000</v>
      </c>
      <c r="N31" s="11" t="n">
        <f aca="false">IF(COUNTIFS(02_RAW_DATA!$B$2:$B$57,$B31,02_RAW_DATA!$D$2:$D$57,01_README!$C$37,INDEX(02_RAW_DATA!$E$2:$U$57,0,MATCH($C31&amp;" [YR"&amp;$C31&amp;"]",02_RAW_DATA!$E$1:$U$1,0)),"&gt;-1E+300")=0,"",SUMIFS(INDEX(02_RAW_DATA!$E$2:$U$57,0,MATCH($C31&amp;" [YR"&amp;$C31&amp;"]",02_RAW_DATA!$E$1:$U$1,0)),02_RAW_DATA!$B$2:$B$57,$B31,02_RAW_DATA!$D$2:$D$57,01_README!$C$37))</f>
        <v>4.38918673390545</v>
      </c>
      <c r="O31" s="11" t="n">
        <f aca="false">IF(COUNTIFS(02_RAW_DATA!$B$2:$B$57,$B31,02_RAW_DATA!$D$2:$D$57,01_README!$C$38,INDEX(02_RAW_DATA!$E$2:$U$57,0,MATCH($C31&amp;" [YR"&amp;$C31&amp;"]",02_RAW_DATA!$E$1:$U$1,0)),"&gt;-1E+300")=0,"",SUMIFS(INDEX(02_RAW_DATA!$E$2:$U$57,0,MATCH($C31&amp;" [YR"&amp;$C31&amp;"]",02_RAW_DATA!$E$1:$U$1,0)),02_RAW_DATA!$B$2:$B$57,$B31,02_RAW_DATA!$D$2:$D$57,01_README!$C$38))</f>
        <v>17.4578672165103</v>
      </c>
      <c r="P31" s="11" t="n">
        <f aca="false">IF(COUNTIFS(02_RAW_DATA!$B$2:$B$57,$B31,02_RAW_DATA!$D$2:$D$57,01_README!$C$39,INDEX(02_RAW_DATA!$E$2:$U$57,0,MATCH($C31&amp;" [YR"&amp;$C31&amp;"]",02_RAW_DATA!$E$1:$U$1,0)),"&gt;-1E+300")=0,"",SUMIFS(INDEX(02_RAW_DATA!$E$2:$U$57,0,MATCH($C31&amp;" [YR"&amp;$C31&amp;"]",02_RAW_DATA!$E$1:$U$1,0)),02_RAW_DATA!$B$2:$B$57,$B31,02_RAW_DATA!$D$2:$D$57,01_README!$C$39))</f>
        <v>1.53683077845046</v>
      </c>
      <c r="Q31" s="10" t="n">
        <f aca="false">IF(COUNTIFS(02_RAW_DATA!$B$2:$B$57,$B31,02_RAW_DATA!$D$2:$D$57,01_README!$C$40,INDEX(02_RAW_DATA!$E$2:$U$57,0,MATCH($C31&amp;" [YR"&amp;$C31&amp;"]",02_RAW_DATA!$E$1:$U$1,0)),"&gt;-1E+300")=0,"",SUMIFS(INDEX(02_RAW_DATA!$E$2:$U$57,0,MATCH($C31&amp;" [YR"&amp;$C31&amp;"]",02_RAW_DATA!$E$1:$U$1,0)),02_RAW_DATA!$B$2:$B$57,$B31,02_RAW_DATA!$D$2:$D$57,01_README!$C$40))</f>
        <v>381517000000</v>
      </c>
    </row>
    <row r="32" customFormat="false" ht="15" hidden="false" customHeight="false" outlineLevel="0" collapsed="false">
      <c r="A32" s="8" t="s">
        <v>129</v>
      </c>
      <c r="B32" s="8" t="s">
        <v>130</v>
      </c>
      <c r="C32" s="8" t="n">
        <v>2024</v>
      </c>
      <c r="D32" s="10" t="n">
        <f aca="false">IF(COUNTIFS(02_RAW_DATA!$B$2:$B$57,$B32,02_RAW_DATA!$D$2:$D$57,01_README!$C$27,INDEX(02_RAW_DATA!$E$2:$U$57,0,MATCH($C32&amp;" [YR"&amp;$C32&amp;"]",02_RAW_DATA!$E$1:$U$1,0)),"&gt;-1E+300")=0,"",SUMIFS(INDEX(02_RAW_DATA!$E$2:$U$57,0,MATCH($C32&amp;" [YR"&amp;$C32&amp;"]",02_RAW_DATA!$E$1:$U$1,0)),02_RAW_DATA!$B$2:$B$57,$B32,02_RAW_DATA!$D$2:$D$57,01_README!$C$27))</f>
        <v>917767106146.761</v>
      </c>
      <c r="E32" s="11" t="n">
        <f aca="false">IF(COUNTIFS(02_RAW_DATA!$B$2:$B$57,$B32,02_RAW_DATA!$D$2:$D$57,01_README!$C$28,INDEX(02_RAW_DATA!$E$2:$U$57,0,MATCH($C32&amp;" [YR"&amp;$C32&amp;"]",02_RAW_DATA!$E$1:$U$1,0)),"&gt;-1E+300")=0,"",SUMIFS(INDEX(02_RAW_DATA!$E$2:$U$57,0,MATCH($C32&amp;" [YR"&amp;$C32&amp;"]",02_RAW_DATA!$E$1:$U$1,0)),02_RAW_DATA!$B$2:$B$57,$B32,02_RAW_DATA!$D$2:$D$57,01_README!$C$28))</f>
        <v>3.02841630700273</v>
      </c>
      <c r="F32" s="10" t="n">
        <f aca="false">IF(COUNTIFS(02_RAW_DATA!$B$2:$B$57,$B32,02_RAW_DATA!$D$2:$D$57,01_README!$C$29,INDEX(02_RAW_DATA!$E$2:$U$57,0,MATCH($C32&amp;" [YR"&amp;$C32&amp;"]",02_RAW_DATA!$E$1:$U$1,0)),"&gt;-1E+300")=0,"",SUMIFS(INDEX(02_RAW_DATA!$E$2:$U$57,0,MATCH($C32&amp;" [YR"&amp;$C32&amp;"]",02_RAW_DATA!$E$1:$U$1,0)),02_RAW_DATA!$B$2:$B$57,$B32,02_RAW_DATA!$D$2:$D$57,01_README!$C$29))</f>
        <v>25103.565661423</v>
      </c>
      <c r="G32" s="10" t="n">
        <f aca="false">IF(COUNTIFS(02_RAW_DATA!$B$2:$B$57,$B32,02_RAW_DATA!$D$2:$D$57,01_README!$C$30,INDEX(02_RAW_DATA!$E$2:$U$57,0,MATCH($C32&amp;" [YR"&amp;$C32&amp;"]",02_RAW_DATA!$E$1:$U$1,0)),"&gt;-1E+300")=0,"",SUMIFS(INDEX(02_RAW_DATA!$E$2:$U$57,0,MATCH($C32&amp;" [YR"&amp;$C32&amp;"]",02_RAW_DATA!$E$1:$U$1,0)),02_RAW_DATA!$B$2:$B$57,$B32,02_RAW_DATA!$D$2:$D$57,01_README!$C$30))</f>
        <v>478889163359.631</v>
      </c>
      <c r="H32" s="10" t="n">
        <f aca="false">IF(COUNTIFS(02_RAW_DATA!$B$2:$B$57,$B32,02_RAW_DATA!$D$2:$D$57,01_README!$C$31,INDEX(02_RAW_DATA!$E$2:$U$57,0,MATCH($C32&amp;" [YR"&amp;$C32&amp;"]",02_RAW_DATA!$E$1:$U$1,0)),"&gt;-1E+300")=0,"",SUMIFS(INDEX(02_RAW_DATA!$E$2:$U$57,0,MATCH($C32&amp;" [YR"&amp;$C32&amp;"]",02_RAW_DATA!$E$1:$U$1,0)),02_RAW_DATA!$B$2:$B$57,$B32,02_RAW_DATA!$D$2:$D$57,01_README!$C$31))</f>
        <v>382022867754.344</v>
      </c>
      <c r="I32" s="10" t="n">
        <f aca="false">IF(COUNTIFS(02_RAW_DATA!$B$2:$B$57,$B32,02_RAW_DATA!$D$2:$D$57,01_README!$C$32,INDEX(02_RAW_DATA!$E$2:$U$57,0,MATCH($C32&amp;" [YR"&amp;$C32&amp;"]",02_RAW_DATA!$E$1:$U$1,0)),"&gt;-1E+300")=0,"",SUMIFS(INDEX(02_RAW_DATA!$E$2:$U$57,0,MATCH($C32&amp;" [YR"&amp;$C32&amp;"]",02_RAW_DATA!$E$1:$U$1,0)),02_RAW_DATA!$B$2:$B$57,$B32,02_RAW_DATA!$D$2:$D$57,01_README!$C$32))</f>
        <v>442176791003.799</v>
      </c>
      <c r="J32" s="11" t="n">
        <f aca="false">IF(COUNTIFS(02_RAW_DATA!$B$2:$B$57,$B32,02_RAW_DATA!$D$2:$D$57,01_README!$C$33,INDEX(02_RAW_DATA!$E$2:$U$57,0,MATCH($C32&amp;" [YR"&amp;$C32&amp;"]",02_RAW_DATA!$E$1:$U$1,0)),"&gt;-1E+300")=0,"",SUMIFS(INDEX(02_RAW_DATA!$E$2:$U$57,0,MATCH($C32&amp;" [YR"&amp;$C32&amp;"]",02_RAW_DATA!$E$1:$U$1,0)),02_RAW_DATA!$B$2:$B$57,$B32,02_RAW_DATA!$D$2:$D$57,01_README!$C$33))</f>
        <v>52.1798133919011</v>
      </c>
      <c r="K32" s="11" t="n">
        <f aca="false">IF(COUNTIFS(02_RAW_DATA!$B$2:$B$57,$B32,02_RAW_DATA!$D$2:$D$57,01_README!$C$34,INDEX(02_RAW_DATA!$E$2:$U$57,0,MATCH($C32&amp;" [YR"&amp;$C32&amp;"]",02_RAW_DATA!$E$1:$U$1,0)),"&gt;-1E+300")=0,"",SUMIFS(INDEX(02_RAW_DATA!$E$2:$U$57,0,MATCH($C32&amp;" [YR"&amp;$C32&amp;"]",02_RAW_DATA!$E$1:$U$1,0)),02_RAW_DATA!$B$2:$B$57,$B32,02_RAW_DATA!$D$2:$D$57,01_README!$C$34))</f>
        <v>48.1796294552629</v>
      </c>
      <c r="L32" s="11" t="n">
        <f aca="false">IF(COUNTIFS(02_RAW_DATA!$B$2:$B$57,$B32,02_RAW_DATA!$D$2:$D$57,01_README!$C$35,INDEX(02_RAW_DATA!$E$2:$U$57,0,MATCH($C32&amp;" [YR"&amp;$C32&amp;"]",02_RAW_DATA!$E$1:$U$1,0)),"&gt;-1E+300")=0,"",SUMIFS(INDEX(02_RAW_DATA!$E$2:$U$57,0,MATCH($C32&amp;" [YR"&amp;$C32&amp;"]",02_RAW_DATA!$E$1:$U$1,0)),02_RAW_DATA!$B$2:$B$57,$B32,02_RAW_DATA!$D$2:$D$57,01_README!$C$35))</f>
        <v>100.359442847164</v>
      </c>
      <c r="M32" s="10" t="n">
        <f aca="false">IF(COUNTIFS(02_RAW_DATA!$B$2:$B$57,$B32,02_RAW_DATA!$D$2:$D$57,01_README!$C$36,INDEX(02_RAW_DATA!$E$2:$U$57,0,MATCH($C32&amp;" [YR"&amp;$C32&amp;"]",02_RAW_DATA!$E$1:$U$1,0)),"&gt;-1E+300")=0,"",SUMIFS(INDEX(02_RAW_DATA!$E$2:$U$57,0,MATCH($C32&amp;" [YR"&amp;$C32&amp;"]",02_RAW_DATA!$E$1:$U$1,0)),02_RAW_DATA!$B$2:$B$57,$B32,02_RAW_DATA!$D$2:$D$57,01_README!$C$36))</f>
        <v>20606000000</v>
      </c>
      <c r="N32" s="11" t="n">
        <f aca="false">IF(COUNTIFS(02_RAW_DATA!$B$2:$B$57,$B32,02_RAW_DATA!$D$2:$D$57,01_README!$C$37,INDEX(02_RAW_DATA!$E$2:$U$57,0,MATCH($C32&amp;" [YR"&amp;$C32&amp;"]",02_RAW_DATA!$E$1:$U$1,0)),"&gt;-1E+300")=0,"",SUMIFS(INDEX(02_RAW_DATA!$E$2:$U$57,0,MATCH($C32&amp;" [YR"&amp;$C32&amp;"]",02_RAW_DATA!$E$1:$U$1,0)),02_RAW_DATA!$B$2:$B$57,$B32,02_RAW_DATA!$D$2:$D$57,01_README!$C$37))</f>
        <v>2.24523191798779</v>
      </c>
      <c r="O32" s="11" t="n">
        <f aca="false">IF(COUNTIFS(02_RAW_DATA!$B$2:$B$57,$B32,02_RAW_DATA!$D$2:$D$57,01_README!$C$38,INDEX(02_RAW_DATA!$E$2:$U$57,0,MATCH($C32&amp;" [YR"&amp;$C32&amp;"]",02_RAW_DATA!$E$1:$U$1,0)),"&gt;-1E+300")=0,"",SUMIFS(INDEX(02_RAW_DATA!$E$2:$U$57,0,MATCH($C32&amp;" [YR"&amp;$C32&amp;"]",02_RAW_DATA!$E$1:$U$1,0)),02_RAW_DATA!$B$2:$B$57,$B32,02_RAW_DATA!$D$2:$D$57,01_README!$C$38))</f>
        <v>16.0769928111431</v>
      </c>
      <c r="P32" s="11" t="n">
        <f aca="false">IF(COUNTIFS(02_RAW_DATA!$B$2:$B$57,$B32,02_RAW_DATA!$D$2:$D$57,01_README!$C$39,INDEX(02_RAW_DATA!$E$2:$U$57,0,MATCH($C32&amp;" [YR"&amp;$C32&amp;"]",02_RAW_DATA!$E$1:$U$1,0)),"&gt;-1E+300")=0,"",SUMIFS(INDEX(02_RAW_DATA!$E$2:$U$57,0,MATCH($C32&amp;" [YR"&amp;$C32&amp;"]",02_RAW_DATA!$E$1:$U$1,0)),02_RAW_DATA!$B$2:$B$57,$B32,02_RAW_DATA!$D$2:$D$57,01_README!$C$39))</f>
        <v>0.30454349270969</v>
      </c>
      <c r="Q32" s="10" t="n">
        <f aca="false">IF(COUNTIFS(02_RAW_DATA!$B$2:$B$57,$B32,02_RAW_DATA!$D$2:$D$57,01_README!$C$40,INDEX(02_RAW_DATA!$E$2:$U$57,0,MATCH($C32&amp;" [YR"&amp;$C32&amp;"]",02_RAW_DATA!$E$1:$U$1,0)),"&gt;-1E+300")=0,"",SUMIFS(INDEX(02_RAW_DATA!$E$2:$U$57,0,MATCH($C32&amp;" [YR"&amp;$C32&amp;"]",02_RAW_DATA!$E$1:$U$1,0)),02_RAW_DATA!$B$2:$B$57,$B32,02_RAW_DATA!$D$2:$D$57,01_README!$C$40))</f>
        <v>382845000000</v>
      </c>
    </row>
    <row r="33" customFormat="false" ht="15" hidden="false" customHeight="false" outlineLevel="0" collapsed="false">
      <c r="A33" s="8" t="s">
        <v>129</v>
      </c>
      <c r="B33" s="8" t="s">
        <v>130</v>
      </c>
      <c r="C33" s="8" t="n">
        <v>2025</v>
      </c>
      <c r="D33" s="10" t="n">
        <f aca="false">IF(COUNTIFS(02_RAW_DATA!$B$2:$B$57,$B33,02_RAW_DATA!$D$2:$D$57,01_README!$C$27,INDEX(02_RAW_DATA!$E$2:$U$57,0,MATCH($C33&amp;" [YR"&amp;$C33&amp;"]",02_RAW_DATA!$E$1:$U$1,0)),"&gt;-1E+300")=0,"",SUMIFS(INDEX(02_RAW_DATA!$E$2:$U$57,0,MATCH($C33&amp;" [YR"&amp;$C33&amp;"]",02_RAW_DATA!$E$1:$U$1,0)),02_RAW_DATA!$B$2:$B$57,$B33,02_RAW_DATA!$D$2:$D$57,01_README!$C$27))</f>
        <v>1035491784197.44</v>
      </c>
      <c r="E33" s="11" t="n">
        <f aca="false">IF(COUNTIFS(02_RAW_DATA!$B$2:$B$57,$B33,02_RAW_DATA!$D$2:$D$57,01_README!$C$28,INDEX(02_RAW_DATA!$E$2:$U$57,0,MATCH($C33&amp;" [YR"&amp;$C33&amp;"]",02_RAW_DATA!$E$1:$U$1,0)),"&gt;-1E+300")=0,"",SUMIFS(INDEX(02_RAW_DATA!$E$2:$U$57,0,MATCH($C33&amp;" [YR"&amp;$C33&amp;"]",02_RAW_DATA!$E$1:$U$1,0)),02_RAW_DATA!$B$2:$B$57,$B33,02_RAW_DATA!$D$2:$D$57,01_README!$C$28))</f>
        <v>3.5727250346774</v>
      </c>
      <c r="F33" s="10" t="n">
        <f aca="false">IF(COUNTIFS(02_RAW_DATA!$B$2:$B$57,$B33,02_RAW_DATA!$D$2:$D$57,01_README!$C$29,INDEX(02_RAW_DATA!$E$2:$U$57,0,MATCH($C33&amp;" [YR"&amp;$C33&amp;"]",02_RAW_DATA!$E$1:$U$1,0)),"&gt;-1E+300")=0,"",SUMIFS(INDEX(02_RAW_DATA!$E$2:$U$57,0,MATCH($C33&amp;" [YR"&amp;$C33&amp;"]",02_RAW_DATA!$E$1:$U$1,0)),02_RAW_DATA!$B$2:$B$57,$B33,02_RAW_DATA!$D$2:$D$57,01_README!$C$29))</f>
        <v>28419.5777395638</v>
      </c>
      <c r="G33" s="10" t="n">
        <f aca="false">IF(COUNTIFS(02_RAW_DATA!$B$2:$B$57,$B33,02_RAW_DATA!$D$2:$D$57,01_README!$C$30,INDEX(02_RAW_DATA!$E$2:$U$57,0,MATCH($C33&amp;" [YR"&amp;$C33&amp;"]",02_RAW_DATA!$E$1:$U$1,0)),"&gt;-1E+300")=0,"",SUMIFS(INDEX(02_RAW_DATA!$E$2:$U$57,0,MATCH($C33&amp;" [YR"&amp;$C33&amp;"]",02_RAW_DATA!$E$1:$U$1,0)),02_RAW_DATA!$B$2:$B$57,$B33,02_RAW_DATA!$D$2:$D$57,01_README!$C$30))</f>
        <v>517233997757.263</v>
      </c>
      <c r="H33" s="10" t="n">
        <f aca="false">IF(COUNTIFS(02_RAW_DATA!$B$2:$B$57,$B33,02_RAW_DATA!$D$2:$D$57,01_README!$C$31,INDEX(02_RAW_DATA!$E$2:$U$57,0,MATCH($C33&amp;" [YR"&amp;$C33&amp;"]",02_RAW_DATA!$E$1:$U$1,0)),"&gt;-1E+300")=0,"",SUMIFS(INDEX(02_RAW_DATA!$E$2:$U$57,0,MATCH($C33&amp;" [YR"&amp;$C33&amp;"]",02_RAW_DATA!$E$1:$U$1,0)),02_RAW_DATA!$B$2:$B$57,$B33,02_RAW_DATA!$D$2:$D$57,01_README!$C$31))</f>
        <v>399141795994.164</v>
      </c>
      <c r="I33" s="10" t="n">
        <f aca="false">IF(COUNTIFS(02_RAW_DATA!$B$2:$B$57,$B33,02_RAW_DATA!$D$2:$D$57,01_README!$C$32,INDEX(02_RAW_DATA!$E$2:$U$57,0,MATCH($C33&amp;" [YR"&amp;$C33&amp;"]",02_RAW_DATA!$E$1:$U$1,0)),"&gt;-1E+300")=0,"",SUMIFS(INDEX(02_RAW_DATA!$E$2:$U$57,0,MATCH($C33&amp;" [YR"&amp;$C33&amp;"]",02_RAW_DATA!$E$1:$U$1,0)),02_RAW_DATA!$B$2:$B$57,$B33,02_RAW_DATA!$D$2:$D$57,01_README!$C$32))</f>
        <v>487505567677.639</v>
      </c>
      <c r="J33" s="11" t="n">
        <f aca="false">IF(COUNTIFS(02_RAW_DATA!$B$2:$B$57,$B33,02_RAW_DATA!$D$2:$D$57,01_README!$C$33,INDEX(02_RAW_DATA!$E$2:$U$57,0,MATCH($C33&amp;" [YR"&amp;$C33&amp;"]",02_RAW_DATA!$E$1:$U$1,0)),"&gt;-1E+300")=0,"",SUMIFS(INDEX(02_RAW_DATA!$E$2:$U$57,0,MATCH($C33&amp;" [YR"&amp;$C33&amp;"]",02_RAW_DATA!$E$1:$U$1,0)),02_RAW_DATA!$B$2:$B$57,$B33,02_RAW_DATA!$D$2:$D$57,01_README!$C$33))</f>
        <v>49.9505650987029</v>
      </c>
      <c r="K33" s="11" t="n">
        <f aca="false">IF(COUNTIFS(02_RAW_DATA!$B$2:$B$57,$B33,02_RAW_DATA!$D$2:$D$57,01_README!$C$34,INDEX(02_RAW_DATA!$E$2:$U$57,0,MATCH($C33&amp;" [YR"&amp;$C33&amp;"]",02_RAW_DATA!$E$1:$U$1,0)),"&gt;-1E+300")=0,"",SUMIFS(INDEX(02_RAW_DATA!$E$2:$U$57,0,MATCH($C33&amp;" [YR"&amp;$C33&amp;"]",02_RAW_DATA!$E$1:$U$1,0)),02_RAW_DATA!$B$2:$B$57,$B33,02_RAW_DATA!$D$2:$D$57,01_README!$C$34))</f>
        <v>47.07961715558</v>
      </c>
      <c r="L33" s="11" t="n">
        <f aca="false">IF(COUNTIFS(02_RAW_DATA!$B$2:$B$57,$B33,02_RAW_DATA!$D$2:$D$57,01_README!$C$35,INDEX(02_RAW_DATA!$E$2:$U$57,0,MATCH($C33&amp;" [YR"&amp;$C33&amp;"]",02_RAW_DATA!$E$1:$U$1,0)),"&gt;-1E+300")=0,"",SUMIFS(INDEX(02_RAW_DATA!$E$2:$U$57,0,MATCH($C33&amp;" [YR"&amp;$C33&amp;"]",02_RAW_DATA!$E$1:$U$1,0)),02_RAW_DATA!$B$2:$B$57,$B33,02_RAW_DATA!$D$2:$D$57,01_README!$C$35))</f>
        <v>97.0301822542829</v>
      </c>
      <c r="M33" s="10" t="n">
        <f aca="false">IF(COUNTIFS(02_RAW_DATA!$B$2:$B$57,$B33,02_RAW_DATA!$D$2:$D$57,01_README!$C$36,INDEX(02_RAW_DATA!$E$2:$U$57,0,MATCH($C33&amp;" [YR"&amp;$C33&amp;"]",02_RAW_DATA!$E$1:$U$1,0)),"&gt;-1E+300")=0,"",SUMIFS(INDEX(02_RAW_DATA!$E$2:$U$57,0,MATCH($C33&amp;" [YR"&amp;$C33&amp;"]",02_RAW_DATA!$E$1:$U$1,0)),02_RAW_DATA!$B$2:$B$57,$B33,02_RAW_DATA!$D$2:$D$57,01_README!$C$36))</f>
        <v>20940000000</v>
      </c>
      <c r="N33" s="11" t="n">
        <f aca="false">IF(COUNTIFS(02_RAW_DATA!$B$2:$B$57,$B33,02_RAW_DATA!$D$2:$D$57,01_README!$C$37,INDEX(02_RAW_DATA!$E$2:$U$57,0,MATCH($C33&amp;" [YR"&amp;$C33&amp;"]",02_RAW_DATA!$E$1:$U$1,0)),"&gt;-1E+300")=0,"",SUMIFS(INDEX(02_RAW_DATA!$E$2:$U$57,0,MATCH($C33&amp;" [YR"&amp;$C33&amp;"]",02_RAW_DATA!$E$1:$U$1,0)),02_RAW_DATA!$B$2:$B$57,$B33,02_RAW_DATA!$D$2:$D$57,01_README!$C$37))</f>
        <v>2.02222753667037</v>
      </c>
      <c r="O33" s="11" t="n">
        <f aca="false">IF(COUNTIFS(02_RAW_DATA!$B$2:$B$57,$B33,02_RAW_DATA!$D$2:$D$57,01_README!$C$38,INDEX(02_RAW_DATA!$E$2:$U$57,0,MATCH($C33&amp;" [YR"&amp;$C33&amp;"]",02_RAW_DATA!$E$1:$U$1,0)),"&gt;-1E+300")=0,"",SUMIFS(INDEX(02_RAW_DATA!$E$2:$U$57,0,MATCH($C33&amp;" [YR"&amp;$C33&amp;"]",02_RAW_DATA!$E$1:$U$1,0)),02_RAW_DATA!$B$2:$B$57,$B33,02_RAW_DATA!$D$2:$D$57,01_README!$C$38))</f>
        <v>15.0456983931731</v>
      </c>
      <c r="P33" s="11" t="n">
        <f aca="false">IF(COUNTIFS(02_RAW_DATA!$B$2:$B$57,$B33,02_RAW_DATA!$D$2:$D$57,01_README!$C$39,INDEX(02_RAW_DATA!$E$2:$U$57,0,MATCH($C33&amp;" [YR"&amp;$C33&amp;"]",02_RAW_DATA!$E$1:$U$1,0)),"&gt;-1E+300")=0,"",SUMIFS(INDEX(02_RAW_DATA!$E$2:$U$57,0,MATCH($C33&amp;" [YR"&amp;$C33&amp;"]",02_RAW_DATA!$E$1:$U$1,0)),02_RAW_DATA!$B$2:$B$57,$B33,02_RAW_DATA!$D$2:$D$57,01_README!$C$39))</f>
        <v>-0.953363430850522</v>
      </c>
      <c r="Q33" s="10" t="n">
        <f aca="false">IF(COUNTIFS(02_RAW_DATA!$B$2:$B$57,$B33,02_RAW_DATA!$D$2:$D$57,01_README!$C$40,INDEX(02_RAW_DATA!$E$2:$U$57,0,MATCH($C33&amp;" [YR"&amp;$C33&amp;"]",02_RAW_DATA!$E$1:$U$1,0)),"&gt;-1E+300")=0,"",SUMIFS(INDEX(02_RAW_DATA!$E$2:$U$57,0,MATCH($C33&amp;" [YR"&amp;$C33&amp;"]",02_RAW_DATA!$E$1:$U$1,0)),02_RAW_DATA!$B$2:$B$57,$B33,02_RAW_DATA!$D$2:$D$57,01_README!$C$40))</f>
        <v>413895000000</v>
      </c>
    </row>
    <row r="34" customFormat="false" ht="15" hidden="false" customHeight="false" outlineLevel="0" collapsed="false">
      <c r="A34" s="8" t="s">
        <v>131</v>
      </c>
      <c r="B34" s="8" t="s">
        <v>132</v>
      </c>
      <c r="C34" s="8" t="n">
        <v>2010</v>
      </c>
      <c r="D34" s="10" t="n">
        <f aca="false">IF(COUNTIFS(02_RAW_DATA!$B$2:$B$57,$B34,02_RAW_DATA!$D$2:$D$57,01_README!$C$27,INDEX(02_RAW_DATA!$E$2:$U$57,0,MATCH($C34&amp;" [YR"&amp;$C34&amp;"]",02_RAW_DATA!$E$1:$U$1,0)),"&gt;-1E+300")=0,"",SUMIFS(INDEX(02_RAW_DATA!$E$2:$U$57,0,MATCH($C34&amp;" [YR"&amp;$C34&amp;"]",02_RAW_DATA!$E$1:$U$1,0)),02_RAW_DATA!$B$2:$B$57,$B34,02_RAW_DATA!$D$2:$D$57,01_README!$C$27))</f>
        <v>211168667286.27</v>
      </c>
      <c r="E34" s="11" t="n">
        <f aca="false">IF(COUNTIFS(02_RAW_DATA!$B$2:$B$57,$B34,02_RAW_DATA!$D$2:$D$57,01_README!$C$28,INDEX(02_RAW_DATA!$E$2:$U$57,0,MATCH($C34&amp;" [YR"&amp;$C34&amp;"]",02_RAW_DATA!$E$1:$U$1,0)),"&gt;-1E+300")=0,"",SUMIFS(INDEX(02_RAW_DATA!$E$2:$U$57,0,MATCH($C34&amp;" [YR"&amp;$C34&amp;"]",02_RAW_DATA!$E$1:$U$1,0)),02_RAW_DATA!$B$2:$B$57,$B34,02_RAW_DATA!$D$2:$D$57,01_README!$C$28))</f>
        <v>2.71466509907701</v>
      </c>
      <c r="F34" s="10" t="n">
        <f aca="false">IF(COUNTIFS(02_RAW_DATA!$B$2:$B$57,$B34,02_RAW_DATA!$D$2:$D$57,01_README!$C$29,INDEX(02_RAW_DATA!$E$2:$U$57,0,MATCH($C34&amp;" [YR"&amp;$C34&amp;"]",02_RAW_DATA!$E$1:$U$1,0)),"&gt;-1E+300")=0,"",SUMIFS(INDEX(02_RAW_DATA!$E$2:$U$57,0,MATCH($C34&amp;" [YR"&amp;$C34&amp;"]",02_RAW_DATA!$E$1:$U$1,0)),02_RAW_DATA!$B$2:$B$57,$B34,02_RAW_DATA!$D$2:$D$57,01_README!$C$29))</f>
        <v>20160.4355077059</v>
      </c>
      <c r="G34" s="10" t="n">
        <f aca="false">IF(COUNTIFS(02_RAW_DATA!$B$2:$B$57,$B34,02_RAW_DATA!$D$2:$D$57,01_README!$C$30,INDEX(02_RAW_DATA!$E$2:$U$57,0,MATCH($C34&amp;" [YR"&amp;$C34&amp;"]",02_RAW_DATA!$E$1:$U$1,0)),"&gt;-1E+300")=0,"",SUMIFS(INDEX(02_RAW_DATA!$E$2:$U$57,0,MATCH($C34&amp;" [YR"&amp;$C34&amp;"]",02_RAW_DATA!$E$1:$U$1,0)),02_RAW_DATA!$B$2:$B$57,$B34,02_RAW_DATA!$D$2:$D$57,01_README!$C$30))</f>
        <v>137030722710.196</v>
      </c>
      <c r="H34" s="10" t="n">
        <f aca="false">IF(COUNTIFS(02_RAW_DATA!$B$2:$B$57,$B34,02_RAW_DATA!$D$2:$D$57,01_README!$C$31,INDEX(02_RAW_DATA!$E$2:$U$57,0,MATCH($C34&amp;" [YR"&amp;$C34&amp;"]",02_RAW_DATA!$E$1:$U$1,0)),"&gt;-1E+300")=0,"",SUMIFS(INDEX(02_RAW_DATA!$E$2:$U$57,0,MATCH($C34&amp;" [YR"&amp;$C34&amp;"]",02_RAW_DATA!$E$1:$U$1,0)),02_RAW_DATA!$B$2:$B$57,$B34,02_RAW_DATA!$D$2:$D$57,01_README!$C$31))</f>
        <v>115129733580.089</v>
      </c>
      <c r="I34" s="10" t="n">
        <f aca="false">IF(COUNTIFS(02_RAW_DATA!$B$2:$B$57,$B34,02_RAW_DATA!$D$2:$D$57,01_README!$C$32,INDEX(02_RAW_DATA!$E$2:$U$57,0,MATCH($C34&amp;" [YR"&amp;$C34&amp;"]",02_RAW_DATA!$E$1:$U$1,0)),"&gt;-1E+300")=0,"",SUMIFS(INDEX(02_RAW_DATA!$E$2:$U$57,0,MATCH($C34&amp;" [YR"&amp;$C34&amp;"]",02_RAW_DATA!$E$1:$U$1,0)),02_RAW_DATA!$B$2:$B$57,$B34,02_RAW_DATA!$D$2:$D$57,01_README!$C$32))</f>
        <v>130639247051.431</v>
      </c>
      <c r="J34" s="11" t="n">
        <f aca="false">IF(COUNTIFS(02_RAW_DATA!$B$2:$B$57,$B34,02_RAW_DATA!$D$2:$D$57,01_README!$C$33,INDEX(02_RAW_DATA!$E$2:$U$57,0,MATCH($C34&amp;" [YR"&amp;$C34&amp;"]",02_RAW_DATA!$E$1:$U$1,0)),"&gt;-1E+300")=0,"",SUMIFS(INDEX(02_RAW_DATA!$E$2:$U$57,0,MATCH($C34&amp;" [YR"&amp;$C34&amp;"]",02_RAW_DATA!$E$1:$U$1,0)),02_RAW_DATA!$B$2:$B$57,$B34,02_RAW_DATA!$D$2:$D$57,01_README!$C$33))</f>
        <v>64.8915980155479</v>
      </c>
      <c r="K34" s="11" t="n">
        <f aca="false">IF(COUNTIFS(02_RAW_DATA!$B$2:$B$57,$B34,02_RAW_DATA!$D$2:$D$57,01_README!$C$34,INDEX(02_RAW_DATA!$E$2:$U$57,0,MATCH($C34&amp;" [YR"&amp;$C34&amp;"]",02_RAW_DATA!$E$1:$U$1,0)),"&gt;-1E+300")=0,"",SUMIFS(INDEX(02_RAW_DATA!$E$2:$U$57,0,MATCH($C34&amp;" [YR"&amp;$C34&amp;"]",02_RAW_DATA!$E$1:$U$1,0)),02_RAW_DATA!$B$2:$B$57,$B34,02_RAW_DATA!$D$2:$D$57,01_README!$C$34))</f>
        <v>61.8648821012499</v>
      </c>
      <c r="L34" s="11" t="n">
        <f aca="false">IF(COUNTIFS(02_RAW_DATA!$B$2:$B$57,$B34,02_RAW_DATA!$D$2:$D$57,01_README!$C$35,INDEX(02_RAW_DATA!$E$2:$U$57,0,MATCH($C34&amp;" [YR"&amp;$C34&amp;"]",02_RAW_DATA!$E$1:$U$1,0)),"&gt;-1E+300")=0,"",SUMIFS(INDEX(02_RAW_DATA!$E$2:$U$57,0,MATCH($C34&amp;" [YR"&amp;$C34&amp;"]",02_RAW_DATA!$E$1:$U$1,0)),02_RAW_DATA!$B$2:$B$57,$B34,02_RAW_DATA!$D$2:$D$57,01_README!$C$35))</f>
        <v>126.756480116798</v>
      </c>
      <c r="M34" s="10" t="n">
        <f aca="false">IF(COUNTIFS(02_RAW_DATA!$B$2:$B$57,$B34,02_RAW_DATA!$D$2:$D$57,01_README!$C$36,INDEX(02_RAW_DATA!$E$2:$U$57,0,MATCH($C34&amp;" [YR"&amp;$C34&amp;"]",02_RAW_DATA!$E$1:$U$1,0)),"&gt;-1E+300")=0,"",SUMIFS(INDEX(02_RAW_DATA!$E$2:$U$57,0,MATCH($C34&amp;" [YR"&amp;$C34&amp;"]",02_RAW_DATA!$E$1:$U$1,0)),02_RAW_DATA!$B$2:$B$57,$B34,02_RAW_DATA!$D$2:$D$57,01_README!$C$36))</f>
        <v>10167834374.8185</v>
      </c>
      <c r="N34" s="11" t="n">
        <f aca="false">IF(COUNTIFS(02_RAW_DATA!$B$2:$B$57,$B34,02_RAW_DATA!$D$2:$D$57,01_README!$C$37,INDEX(02_RAW_DATA!$E$2:$U$57,0,MATCH($C34&amp;" [YR"&amp;$C34&amp;"]",02_RAW_DATA!$E$1:$U$1,0)),"&gt;-1E+300")=0,"",SUMIFS(INDEX(02_RAW_DATA!$E$2:$U$57,0,MATCH($C34&amp;" [YR"&amp;$C34&amp;"]",02_RAW_DATA!$E$1:$U$1,0)),02_RAW_DATA!$B$2:$B$57,$B34,02_RAW_DATA!$D$2:$D$57,01_README!$C$37))</f>
        <v>4.81502985527419</v>
      </c>
      <c r="O34" s="11" t="n">
        <f aca="false">IF(COUNTIFS(02_RAW_DATA!$B$2:$B$57,$B34,02_RAW_DATA!$D$2:$D$57,01_README!$C$38,INDEX(02_RAW_DATA!$E$2:$U$57,0,MATCH($C34&amp;" [YR"&amp;$C34&amp;"]",02_RAW_DATA!$E$1:$U$1,0)),"&gt;-1E+300")=0,"",SUMIFS(INDEX(02_RAW_DATA!$E$2:$U$57,0,MATCH($C34&amp;" [YR"&amp;$C34&amp;"]",02_RAW_DATA!$E$1:$U$1,0)),02_RAW_DATA!$B$2:$B$57,$B34,02_RAW_DATA!$D$2:$D$57,01_README!$C$38))</f>
        <v>20.6982379160476</v>
      </c>
      <c r="P34" s="11" t="n">
        <f aca="false">IF(COUNTIFS(02_RAW_DATA!$B$2:$B$57,$B34,02_RAW_DATA!$D$2:$D$57,01_README!$C$39,INDEX(02_RAW_DATA!$E$2:$U$57,0,MATCH($C34&amp;" [YR"&amp;$C34&amp;"]",02_RAW_DATA!$E$1:$U$1,0)),"&gt;-1E+300")=0,"",SUMIFS(INDEX(02_RAW_DATA!$E$2:$U$57,0,MATCH($C34&amp;" [YR"&amp;$C34&amp;"]",02_RAW_DATA!$E$1:$U$1,0)),02_RAW_DATA!$B$2:$B$57,$B34,02_RAW_DATA!$D$2:$D$57,01_README!$C$39))</f>
        <v>-3.48120039690542</v>
      </c>
      <c r="Q34" s="10" t="n">
        <f aca="false">IF(COUNTIFS(02_RAW_DATA!$B$2:$B$57,$B34,02_RAW_DATA!$D$2:$D$57,01_README!$C$40,INDEX(02_RAW_DATA!$E$2:$U$57,0,MATCH($C34&amp;" [YR"&amp;$C34&amp;"]",02_RAW_DATA!$E$1:$U$1,0)),"&gt;-1E+300")=0,"",SUMIFS(INDEX(02_RAW_DATA!$E$2:$U$57,0,MATCH($C34&amp;" [YR"&amp;$C34&amp;"]",02_RAW_DATA!$E$1:$U$1,0)),02_RAW_DATA!$B$2:$B$57,$B34,02_RAW_DATA!$D$2:$D$57,01_README!$C$40))</f>
        <v>132982000000</v>
      </c>
    </row>
    <row r="35" customFormat="false" ht="15" hidden="false" customHeight="false" outlineLevel="0" collapsed="false">
      <c r="A35" s="8" t="s">
        <v>131</v>
      </c>
      <c r="B35" s="8" t="s">
        <v>132</v>
      </c>
      <c r="C35" s="8" t="n">
        <v>2011</v>
      </c>
      <c r="D35" s="10" t="n">
        <f aca="false">IF(COUNTIFS(02_RAW_DATA!$B$2:$B$57,$B35,02_RAW_DATA!$D$2:$D$57,01_README!$C$27,INDEX(02_RAW_DATA!$E$2:$U$57,0,MATCH($C35&amp;" [YR"&amp;$C35&amp;"]",02_RAW_DATA!$E$1:$U$1,0)),"&gt;-1E+300")=0,"",SUMIFS(INDEX(02_RAW_DATA!$E$2:$U$57,0,MATCH($C35&amp;" [YR"&amp;$C35&amp;"]",02_RAW_DATA!$E$1:$U$1,0)),02_RAW_DATA!$B$2:$B$57,$B35,02_RAW_DATA!$D$2:$D$57,01_README!$C$27))</f>
        <v>231429378717.312</v>
      </c>
      <c r="E35" s="11" t="n">
        <f aca="false">IF(COUNTIFS(02_RAW_DATA!$B$2:$B$57,$B35,02_RAW_DATA!$D$2:$D$57,01_README!$C$28,INDEX(02_RAW_DATA!$E$2:$U$57,0,MATCH($C35&amp;" [YR"&amp;$C35&amp;"]",02_RAW_DATA!$E$1:$U$1,0)),"&gt;-1E+300")=0,"",SUMIFS(INDEX(02_RAW_DATA!$E$2:$U$57,0,MATCH($C35&amp;" [YR"&amp;$C35&amp;"]",02_RAW_DATA!$E$1:$U$1,0)),02_RAW_DATA!$B$2:$B$57,$B35,02_RAW_DATA!$D$2:$D$57,01_README!$C$28))</f>
        <v>1.77238085338473</v>
      </c>
      <c r="F35" s="10" t="n">
        <f aca="false">IF(COUNTIFS(02_RAW_DATA!$B$2:$B$57,$B35,02_RAW_DATA!$D$2:$D$57,01_README!$C$29,INDEX(02_RAW_DATA!$E$2:$U$57,0,MATCH($C35&amp;" [YR"&amp;$C35&amp;"]",02_RAW_DATA!$E$1:$U$1,0)),"&gt;-1E+300")=0,"",SUMIFS(INDEX(02_RAW_DATA!$E$2:$U$57,0,MATCH($C35&amp;" [YR"&amp;$C35&amp;"]",02_RAW_DATA!$E$1:$U$1,0)),02_RAW_DATA!$B$2:$B$57,$B35,02_RAW_DATA!$D$2:$D$57,01_README!$C$29))</f>
        <v>22049.1080788682</v>
      </c>
      <c r="G35" s="10" t="n">
        <f aca="false">IF(COUNTIFS(02_RAW_DATA!$B$2:$B$57,$B35,02_RAW_DATA!$D$2:$D$57,01_README!$C$30,INDEX(02_RAW_DATA!$E$2:$U$57,0,MATCH($C35&amp;" [YR"&amp;$C35&amp;"]",02_RAW_DATA!$E$1:$U$1,0)),"&gt;-1E+300")=0,"",SUMIFS(INDEX(02_RAW_DATA!$E$2:$U$57,0,MATCH($C35&amp;" [YR"&amp;$C35&amp;"]",02_RAW_DATA!$E$1:$U$1,0)),02_RAW_DATA!$B$2:$B$57,$B35,02_RAW_DATA!$D$2:$D$57,01_README!$C$30))</f>
        <v>162580614171.819</v>
      </c>
      <c r="H35" s="10" t="n">
        <f aca="false">IF(COUNTIFS(02_RAW_DATA!$B$2:$B$57,$B35,02_RAW_DATA!$D$2:$D$57,01_README!$C$31,INDEX(02_RAW_DATA!$E$2:$U$57,0,MATCH($C35&amp;" [YR"&amp;$C35&amp;"]",02_RAW_DATA!$E$1:$U$1,0)),"&gt;-1E+300")=0,"",SUMIFS(INDEX(02_RAW_DATA!$E$2:$U$57,0,MATCH($C35&amp;" [YR"&amp;$C35&amp;"]",02_RAW_DATA!$E$1:$U$1,0)),02_RAW_DATA!$B$2:$B$57,$B35,02_RAW_DATA!$D$2:$D$57,01_README!$C$31))</f>
        <v>125678516192.27</v>
      </c>
      <c r="I35" s="10" t="n">
        <f aca="false">IF(COUNTIFS(02_RAW_DATA!$B$2:$B$57,$B35,02_RAW_DATA!$D$2:$D$57,01_README!$C$32,INDEX(02_RAW_DATA!$E$2:$U$57,0,MATCH($C35&amp;" [YR"&amp;$C35&amp;"]",02_RAW_DATA!$E$1:$U$1,0)),"&gt;-1E+300")=0,"",SUMIFS(INDEX(02_RAW_DATA!$E$2:$U$57,0,MATCH($C35&amp;" [YR"&amp;$C35&amp;"]",02_RAW_DATA!$E$1:$U$1,0)),02_RAW_DATA!$B$2:$B$57,$B35,02_RAW_DATA!$D$2:$D$57,01_README!$C$32))</f>
        <v>153901041200.653</v>
      </c>
      <c r="J35" s="11" t="n">
        <f aca="false">IF(COUNTIFS(02_RAW_DATA!$B$2:$B$57,$B35,02_RAW_DATA!$D$2:$D$57,01_README!$C$33,INDEX(02_RAW_DATA!$E$2:$U$57,0,MATCH($C35&amp;" [YR"&amp;$C35&amp;"]",02_RAW_DATA!$E$1:$U$1,0)),"&gt;-1E+300")=0,"",SUMIFS(INDEX(02_RAW_DATA!$E$2:$U$57,0,MATCH($C35&amp;" [YR"&amp;$C35&amp;"]",02_RAW_DATA!$E$1:$U$1,0)),02_RAW_DATA!$B$2:$B$57,$B35,02_RAW_DATA!$D$2:$D$57,01_README!$C$33))</f>
        <v>70.2506376126123</v>
      </c>
      <c r="K35" s="11" t="n">
        <f aca="false">IF(COUNTIFS(02_RAW_DATA!$B$2:$B$57,$B35,02_RAW_DATA!$D$2:$D$57,01_README!$C$34,INDEX(02_RAW_DATA!$E$2:$U$57,0,MATCH($C35&amp;" [YR"&amp;$C35&amp;"]",02_RAW_DATA!$E$1:$U$1,0)),"&gt;-1E+300")=0,"",SUMIFS(INDEX(02_RAW_DATA!$E$2:$U$57,0,MATCH($C35&amp;" [YR"&amp;$C35&amp;"]",02_RAW_DATA!$E$1:$U$1,0)),02_RAW_DATA!$B$2:$B$57,$B35,02_RAW_DATA!$D$2:$D$57,01_README!$C$34))</f>
        <v>66.5002179298254</v>
      </c>
      <c r="L35" s="11" t="n">
        <f aca="false">IF(COUNTIFS(02_RAW_DATA!$B$2:$B$57,$B35,02_RAW_DATA!$D$2:$D$57,01_README!$C$35,INDEX(02_RAW_DATA!$E$2:$U$57,0,MATCH($C35&amp;" [YR"&amp;$C35&amp;"]",02_RAW_DATA!$E$1:$U$1,0)),"&gt;-1E+300")=0,"",SUMIFS(INDEX(02_RAW_DATA!$E$2:$U$57,0,MATCH($C35&amp;" [YR"&amp;$C35&amp;"]",02_RAW_DATA!$E$1:$U$1,0)),02_RAW_DATA!$B$2:$B$57,$B35,02_RAW_DATA!$D$2:$D$57,01_README!$C$35))</f>
        <v>136.750855542438</v>
      </c>
      <c r="M35" s="10" t="n">
        <f aca="false">IF(COUNTIFS(02_RAW_DATA!$B$2:$B$57,$B35,02_RAW_DATA!$D$2:$D$57,01_README!$C$36,INDEX(02_RAW_DATA!$E$2:$U$57,0,MATCH($C35&amp;" [YR"&amp;$C35&amp;"]",02_RAW_DATA!$E$1:$U$1,0)),"&gt;-1E+300")=0,"",SUMIFS(INDEX(02_RAW_DATA!$E$2:$U$57,0,MATCH($C35&amp;" [YR"&amp;$C35&amp;"]",02_RAW_DATA!$E$1:$U$1,0)),02_RAW_DATA!$B$2:$B$57,$B35,02_RAW_DATA!$D$2:$D$57,01_README!$C$36))</f>
        <v>4188736491.29369</v>
      </c>
      <c r="N35" s="11" t="n">
        <f aca="false">IF(COUNTIFS(02_RAW_DATA!$B$2:$B$57,$B35,02_RAW_DATA!$D$2:$D$57,01_README!$C$37,INDEX(02_RAW_DATA!$E$2:$U$57,0,MATCH($C35&amp;" [YR"&amp;$C35&amp;"]",02_RAW_DATA!$E$1:$U$1,0)),"&gt;-1E+300")=0,"",SUMIFS(INDEX(02_RAW_DATA!$E$2:$U$57,0,MATCH($C35&amp;" [YR"&amp;$C35&amp;"]",02_RAW_DATA!$E$1:$U$1,0)),02_RAW_DATA!$B$2:$B$57,$B35,02_RAW_DATA!$D$2:$D$57,01_README!$C$37))</f>
        <v>1.80994155301699</v>
      </c>
      <c r="O35" s="11" t="n">
        <f aca="false">IF(COUNTIFS(02_RAW_DATA!$B$2:$B$57,$B35,02_RAW_DATA!$D$2:$D$57,01_README!$C$38,INDEX(02_RAW_DATA!$E$2:$U$57,0,MATCH($C35&amp;" [YR"&amp;$C35&amp;"]",02_RAW_DATA!$E$1:$U$1,0)),"&gt;-1E+300")=0,"",SUMIFS(INDEX(02_RAW_DATA!$E$2:$U$57,0,MATCH($C35&amp;" [YR"&amp;$C35&amp;"]",02_RAW_DATA!$E$1:$U$1,0)),02_RAW_DATA!$B$2:$B$57,$B35,02_RAW_DATA!$D$2:$D$57,01_README!$C$38))</f>
        <v>21.8643072456478</v>
      </c>
      <c r="P35" s="11" t="n">
        <f aca="false">IF(COUNTIFS(02_RAW_DATA!$B$2:$B$57,$B35,02_RAW_DATA!$D$2:$D$57,01_README!$C$39,INDEX(02_RAW_DATA!$E$2:$U$57,0,MATCH($C35&amp;" [YR"&amp;$C35&amp;"]",02_RAW_DATA!$E$1:$U$1,0)),"&gt;-1E+300")=0,"",SUMIFS(INDEX(02_RAW_DATA!$E$2:$U$57,0,MATCH($C35&amp;" [YR"&amp;$C35&amp;"]",02_RAW_DATA!$E$1:$U$1,0)),02_RAW_DATA!$B$2:$B$57,$B35,02_RAW_DATA!$D$2:$D$57,01_README!$C$39))</f>
        <v>-2.1691537824734</v>
      </c>
      <c r="Q35" s="10" t="n">
        <f aca="false">IF(COUNTIFS(02_RAW_DATA!$B$2:$B$57,$B35,02_RAW_DATA!$D$2:$D$57,01_README!$C$40,INDEX(02_RAW_DATA!$E$2:$U$57,0,MATCH($C35&amp;" [YR"&amp;$C35&amp;"]",02_RAW_DATA!$E$1:$U$1,0)),"&gt;-1E+300")=0,"",SUMIFS(INDEX(02_RAW_DATA!$E$2:$U$57,0,MATCH($C35&amp;" [YR"&amp;$C35&amp;"]",02_RAW_DATA!$E$1:$U$1,0)),02_RAW_DATA!$B$2:$B$57,$B35,02_RAW_DATA!$D$2:$D$57,01_README!$C$40))</f>
        <v>162939000000</v>
      </c>
    </row>
    <row r="36" customFormat="false" ht="15" hidden="false" customHeight="false" outlineLevel="0" collapsed="false">
      <c r="A36" s="8" t="s">
        <v>131</v>
      </c>
      <c r="B36" s="8" t="s">
        <v>132</v>
      </c>
      <c r="C36" s="8" t="n">
        <v>2012</v>
      </c>
      <c r="D36" s="10" t="n">
        <f aca="false">IF(COUNTIFS(02_RAW_DATA!$B$2:$B$57,$B36,02_RAW_DATA!$D$2:$D$57,01_README!$C$27,INDEX(02_RAW_DATA!$E$2:$U$57,0,MATCH($C36&amp;" [YR"&amp;$C36&amp;"]",02_RAW_DATA!$E$1:$U$1,0)),"&gt;-1E+300")=0,"",SUMIFS(INDEX(02_RAW_DATA!$E$2:$U$57,0,MATCH($C36&amp;" [YR"&amp;$C36&amp;"]",02_RAW_DATA!$E$1:$U$1,0)),02_RAW_DATA!$B$2:$B$57,$B36,02_RAW_DATA!$D$2:$D$57,01_README!$C$27))</f>
        <v>210363223087.728</v>
      </c>
      <c r="E36" s="11" t="n">
        <f aca="false">IF(COUNTIFS(02_RAW_DATA!$B$2:$B$57,$B36,02_RAW_DATA!$D$2:$D$57,01_README!$C$28,INDEX(02_RAW_DATA!$E$2:$U$57,0,MATCH($C36&amp;" [YR"&amp;$C36&amp;"]",02_RAW_DATA!$E$1:$U$1,0)),"&gt;-1E+300")=0,"",SUMIFS(INDEX(02_RAW_DATA!$E$2:$U$57,0,MATCH($C36&amp;" [YR"&amp;$C36&amp;"]",02_RAW_DATA!$E$1:$U$1,0)),02_RAW_DATA!$B$2:$B$57,$B36,02_RAW_DATA!$D$2:$D$57,01_README!$C$28))</f>
        <v>-0.770668190622743</v>
      </c>
      <c r="F36" s="10" t="n">
        <f aca="false">IF(COUNTIFS(02_RAW_DATA!$B$2:$B$57,$B36,02_RAW_DATA!$D$2:$D$57,01_README!$C$29,INDEX(02_RAW_DATA!$E$2:$U$57,0,MATCH($C36&amp;" [YR"&amp;$C36&amp;"]",02_RAW_DATA!$E$1:$U$1,0)),"&gt;-1E+300")=0,"",SUMIFS(INDEX(02_RAW_DATA!$E$2:$U$57,0,MATCH($C36&amp;" [YR"&amp;$C36&amp;"]",02_RAW_DATA!$E$1:$U$1,0)),02_RAW_DATA!$B$2:$B$57,$B36,02_RAW_DATA!$D$2:$D$57,01_README!$C$29))</f>
        <v>20014.0354015165</v>
      </c>
      <c r="G36" s="10" t="n">
        <f aca="false">IF(COUNTIFS(02_RAW_DATA!$B$2:$B$57,$B36,02_RAW_DATA!$D$2:$D$57,01_README!$C$30,INDEX(02_RAW_DATA!$E$2:$U$57,0,MATCH($C36&amp;" [YR"&amp;$C36&amp;"]",02_RAW_DATA!$E$1:$U$1,0)),"&gt;-1E+300")=0,"",SUMIFS(INDEX(02_RAW_DATA!$E$2:$U$57,0,MATCH($C36&amp;" [YR"&amp;$C36&amp;"]",02_RAW_DATA!$E$1:$U$1,0)),02_RAW_DATA!$B$2:$B$57,$B36,02_RAW_DATA!$D$2:$D$57,01_README!$C$30))</f>
        <v>157992900012.77</v>
      </c>
      <c r="H36" s="10" t="n">
        <f aca="false">IF(COUNTIFS(02_RAW_DATA!$B$2:$B$57,$B36,02_RAW_DATA!$D$2:$D$57,01_README!$C$31,INDEX(02_RAW_DATA!$E$2:$U$57,0,MATCH($C36&amp;" [YR"&amp;$C36&amp;"]",02_RAW_DATA!$E$1:$U$1,0)),"&gt;-1E+300")=0,"",SUMIFS(INDEX(02_RAW_DATA!$E$2:$U$57,0,MATCH($C36&amp;" [YR"&amp;$C36&amp;"]",02_RAW_DATA!$E$1:$U$1,0)),02_RAW_DATA!$B$2:$B$57,$B36,02_RAW_DATA!$D$2:$D$57,01_README!$C$31))</f>
        <v>131059016359.54</v>
      </c>
      <c r="I36" s="10" t="n">
        <f aca="false">IF(COUNTIFS(02_RAW_DATA!$B$2:$B$57,$B36,02_RAW_DATA!$D$2:$D$57,01_README!$C$32,INDEX(02_RAW_DATA!$E$2:$U$57,0,MATCH($C36&amp;" [YR"&amp;$C36&amp;"]",02_RAW_DATA!$E$1:$U$1,0)),"&gt;-1E+300")=0,"",SUMIFS(INDEX(02_RAW_DATA!$E$2:$U$57,0,MATCH($C36&amp;" [YR"&amp;$C36&amp;"]",02_RAW_DATA!$E$1:$U$1,0)),02_RAW_DATA!$B$2:$B$57,$B36,02_RAW_DATA!$D$2:$D$57,01_README!$C$32))</f>
        <v>148043927978.547</v>
      </c>
      <c r="J36" s="11" t="n">
        <f aca="false">IF(COUNTIFS(02_RAW_DATA!$B$2:$B$57,$B36,02_RAW_DATA!$D$2:$D$57,01_README!$C$33,INDEX(02_RAW_DATA!$E$2:$U$57,0,MATCH($C36&amp;" [YR"&amp;$C36&amp;"]",02_RAW_DATA!$E$1:$U$1,0)),"&gt;-1E+300")=0,"",SUMIFS(INDEX(02_RAW_DATA!$E$2:$U$57,0,MATCH($C36&amp;" [YR"&amp;$C36&amp;"]",02_RAW_DATA!$E$1:$U$1,0)),02_RAW_DATA!$B$2:$B$57,$B36,02_RAW_DATA!$D$2:$D$57,01_README!$C$33))</f>
        <v>75.1048104767256</v>
      </c>
      <c r="K36" s="11" t="n">
        <f aca="false">IF(COUNTIFS(02_RAW_DATA!$B$2:$B$57,$B36,02_RAW_DATA!$D$2:$D$57,01_README!$C$34,INDEX(02_RAW_DATA!$E$2:$U$57,0,MATCH($C36&amp;" [YR"&amp;$C36&amp;"]",02_RAW_DATA!$E$1:$U$1,0)),"&gt;-1E+300")=0,"",SUMIFS(INDEX(02_RAW_DATA!$E$2:$U$57,0,MATCH($C36&amp;" [YR"&amp;$C36&amp;"]",02_RAW_DATA!$E$1:$U$1,0)),02_RAW_DATA!$B$2:$B$57,$B36,02_RAW_DATA!$D$2:$D$57,01_README!$C$34))</f>
        <v>70.375384920209</v>
      </c>
      <c r="L36" s="11" t="n">
        <f aca="false">IF(COUNTIFS(02_RAW_DATA!$B$2:$B$57,$B36,02_RAW_DATA!$D$2:$D$57,01_README!$C$35,INDEX(02_RAW_DATA!$E$2:$U$57,0,MATCH($C36&amp;" [YR"&amp;$C36&amp;"]",02_RAW_DATA!$E$1:$U$1,0)),"&gt;-1E+300")=0,"",SUMIFS(INDEX(02_RAW_DATA!$E$2:$U$57,0,MATCH($C36&amp;" [YR"&amp;$C36&amp;"]",02_RAW_DATA!$E$1:$U$1,0)),02_RAW_DATA!$B$2:$B$57,$B36,02_RAW_DATA!$D$2:$D$57,01_README!$C$35))</f>
        <v>145.480195396935</v>
      </c>
      <c r="M36" s="10" t="n">
        <f aca="false">IF(COUNTIFS(02_RAW_DATA!$B$2:$B$57,$B36,02_RAW_DATA!$D$2:$D$57,01_README!$C$36,INDEX(02_RAW_DATA!$E$2:$U$57,0,MATCH($C36&amp;" [YR"&amp;$C36&amp;"]",02_RAW_DATA!$E$1:$U$1,0)),"&gt;-1E+300")=0,"",SUMIFS(INDEX(02_RAW_DATA!$E$2:$U$57,0,MATCH($C36&amp;" [YR"&amp;$C36&amp;"]",02_RAW_DATA!$E$1:$U$1,0)),02_RAW_DATA!$B$2:$B$57,$B36,02_RAW_DATA!$D$2:$D$57,01_README!$C$36))</f>
        <v>9433199804.77647</v>
      </c>
      <c r="N36" s="11" t="n">
        <f aca="false">IF(COUNTIFS(02_RAW_DATA!$B$2:$B$57,$B36,02_RAW_DATA!$D$2:$D$57,01_README!$C$37,INDEX(02_RAW_DATA!$E$2:$U$57,0,MATCH($C36&amp;" [YR"&amp;$C36&amp;"]",02_RAW_DATA!$E$1:$U$1,0)),"&gt;-1E+300")=0,"",SUMIFS(INDEX(02_RAW_DATA!$E$2:$U$57,0,MATCH($C36&amp;" [YR"&amp;$C36&amp;"]",02_RAW_DATA!$E$1:$U$1,0)),02_RAW_DATA!$B$2:$B$57,$B36,02_RAW_DATA!$D$2:$D$57,01_README!$C$37))</f>
        <v>4.48424380759869</v>
      </c>
      <c r="O36" s="11" t="n">
        <f aca="false">IF(COUNTIFS(02_RAW_DATA!$B$2:$B$57,$B36,02_RAW_DATA!$D$2:$D$57,01_README!$C$38,INDEX(02_RAW_DATA!$E$2:$U$57,0,MATCH($C36&amp;" [YR"&amp;$C36&amp;"]",02_RAW_DATA!$E$1:$U$1,0)),"&gt;-1E+300")=0,"",SUMIFS(INDEX(02_RAW_DATA!$E$2:$U$57,0,MATCH($C36&amp;" [YR"&amp;$C36&amp;"]",02_RAW_DATA!$E$1:$U$1,0)),02_RAW_DATA!$B$2:$B$57,$B36,02_RAW_DATA!$D$2:$D$57,01_README!$C$38))</f>
        <v>21.7136033387837</v>
      </c>
      <c r="P36" s="11" t="n">
        <f aca="false">IF(COUNTIFS(02_RAW_DATA!$B$2:$B$57,$B36,02_RAW_DATA!$D$2:$D$57,01_README!$C$39,INDEX(02_RAW_DATA!$E$2:$U$57,0,MATCH($C36&amp;" [YR"&amp;$C36&amp;"]",02_RAW_DATA!$E$1:$U$1,0)),"&gt;-1E+300")=0,"",SUMIFS(INDEX(02_RAW_DATA!$E$2:$U$57,0,MATCH($C36&amp;" [YR"&amp;$C36&amp;"]",02_RAW_DATA!$E$1:$U$1,0)),02_RAW_DATA!$B$2:$B$57,$B36,02_RAW_DATA!$D$2:$D$57,01_README!$C$39))</f>
        <v>-1.501449440317</v>
      </c>
      <c r="Q36" s="10" t="n">
        <f aca="false">IF(COUNTIFS(02_RAW_DATA!$B$2:$B$57,$B36,02_RAW_DATA!$D$2:$D$57,01_README!$C$40,INDEX(02_RAW_DATA!$E$2:$U$57,0,MATCH($C36&amp;" [YR"&amp;$C36&amp;"]",02_RAW_DATA!$E$1:$U$1,0)),"&gt;-1E+300")=0,"",SUMIFS(INDEX(02_RAW_DATA!$E$2:$U$57,0,MATCH($C36&amp;" [YR"&amp;$C36&amp;"]",02_RAW_DATA!$E$1:$U$1,0)),02_RAW_DATA!$B$2:$B$57,$B36,02_RAW_DATA!$D$2:$D$57,01_README!$C$40))</f>
        <v>157041000000</v>
      </c>
    </row>
    <row r="37" customFormat="false" ht="15" hidden="false" customHeight="false" outlineLevel="0" collapsed="false">
      <c r="A37" s="8" t="s">
        <v>131</v>
      </c>
      <c r="B37" s="8" t="s">
        <v>132</v>
      </c>
      <c r="C37" s="8" t="n">
        <v>2013</v>
      </c>
      <c r="D37" s="10" t="n">
        <f aca="false">IF(COUNTIFS(02_RAW_DATA!$B$2:$B$57,$B37,02_RAW_DATA!$D$2:$D$57,01_README!$C$27,INDEX(02_RAW_DATA!$E$2:$U$57,0,MATCH($C37&amp;" [YR"&amp;$C37&amp;"]",02_RAW_DATA!$E$1:$U$1,0)),"&gt;-1E+300")=0,"",SUMIFS(INDEX(02_RAW_DATA!$E$2:$U$57,0,MATCH($C37&amp;" [YR"&amp;$C37&amp;"]",02_RAW_DATA!$E$1:$U$1,0)),02_RAW_DATA!$B$2:$B$57,$B37,02_RAW_DATA!$D$2:$D$57,01_README!$C$27))</f>
        <v>213024360541.119</v>
      </c>
      <c r="E37" s="11" t="n">
        <f aca="false">IF(COUNTIFS(02_RAW_DATA!$B$2:$B$57,$B37,02_RAW_DATA!$D$2:$D$57,01_README!$C$28,INDEX(02_RAW_DATA!$E$2:$U$57,0,MATCH($C37&amp;" [YR"&amp;$C37&amp;"]",02_RAW_DATA!$E$1:$U$1,0)),"&gt;-1E+300")=0,"",SUMIFS(INDEX(02_RAW_DATA!$E$2:$U$57,0,MATCH($C37&amp;" [YR"&amp;$C37&amp;"]",02_RAW_DATA!$E$1:$U$1,0)),02_RAW_DATA!$B$2:$B$57,$B37,02_RAW_DATA!$D$2:$D$57,01_README!$C$28))</f>
        <v>-0.0418124160447491</v>
      </c>
      <c r="F37" s="10" t="n">
        <f aca="false">IF(COUNTIFS(02_RAW_DATA!$B$2:$B$57,$B37,02_RAW_DATA!$D$2:$D$57,01_README!$C$29,INDEX(02_RAW_DATA!$E$2:$U$57,0,MATCH($C37&amp;" [YR"&amp;$C37&amp;"]",02_RAW_DATA!$E$1:$U$1,0)),"&gt;-1E+300")=0,"",SUMIFS(INDEX(02_RAW_DATA!$E$2:$U$57,0,MATCH($C37&amp;" [YR"&amp;$C37&amp;"]",02_RAW_DATA!$E$1:$U$1,0)),02_RAW_DATA!$B$2:$B$57,$B37,02_RAW_DATA!$D$2:$D$57,01_README!$C$29))</f>
        <v>20260.4954999375</v>
      </c>
      <c r="G37" s="10" t="n">
        <f aca="false">IF(COUNTIFS(02_RAW_DATA!$B$2:$B$57,$B37,02_RAW_DATA!$D$2:$D$57,01_README!$C$30,INDEX(02_RAW_DATA!$E$2:$U$57,0,MATCH($C37&amp;" [YR"&amp;$C37&amp;"]",02_RAW_DATA!$E$1:$U$1,0)),"&gt;-1E+300")=0,"",SUMIFS(INDEX(02_RAW_DATA!$E$2:$U$57,0,MATCH($C37&amp;" [YR"&amp;$C37&amp;"]",02_RAW_DATA!$E$1:$U$1,0)),02_RAW_DATA!$B$2:$B$57,$B37,02_RAW_DATA!$D$2:$D$57,01_README!$C$30))</f>
        <v>161004654093.942</v>
      </c>
      <c r="H37" s="10" t="n">
        <f aca="false">IF(COUNTIFS(02_RAW_DATA!$B$2:$B$57,$B37,02_RAW_DATA!$D$2:$D$57,01_README!$C$31,INDEX(02_RAW_DATA!$E$2:$U$57,0,MATCH($C37&amp;" [YR"&amp;$C37&amp;"]",02_RAW_DATA!$E$1:$U$1,0)),"&gt;-1E+300")=0,"",SUMIFS(INDEX(02_RAW_DATA!$E$2:$U$57,0,MATCH($C37&amp;" [YR"&amp;$C37&amp;"]",02_RAW_DATA!$E$1:$U$1,0)),02_RAW_DATA!$B$2:$B$57,$B37,02_RAW_DATA!$D$2:$D$57,01_README!$C$31))</f>
        <v>131397941630.636</v>
      </c>
      <c r="I37" s="10" t="n">
        <f aca="false">IF(COUNTIFS(02_RAW_DATA!$B$2:$B$57,$B37,02_RAW_DATA!$D$2:$D$57,01_README!$C$32,INDEX(02_RAW_DATA!$E$2:$U$57,0,MATCH($C37&amp;" [YR"&amp;$C37&amp;"]",02_RAW_DATA!$E$1:$U$1,0)),"&gt;-1E+300")=0,"",SUMIFS(INDEX(02_RAW_DATA!$E$2:$U$57,0,MATCH($C37&amp;" [YR"&amp;$C37&amp;"]",02_RAW_DATA!$E$1:$U$1,0)),02_RAW_DATA!$B$2:$B$57,$B37,02_RAW_DATA!$D$2:$D$57,01_README!$C$32))</f>
        <v>148950542267.945</v>
      </c>
      <c r="J37" s="11" t="n">
        <f aca="false">IF(COUNTIFS(02_RAW_DATA!$B$2:$B$57,$B37,02_RAW_DATA!$D$2:$D$57,01_README!$C$33,INDEX(02_RAW_DATA!$E$2:$U$57,0,MATCH($C37&amp;" [YR"&amp;$C37&amp;"]",02_RAW_DATA!$E$1:$U$1,0)),"&gt;-1E+300")=0,"",SUMIFS(INDEX(02_RAW_DATA!$E$2:$U$57,0,MATCH($C37&amp;" [YR"&amp;$C37&amp;"]",02_RAW_DATA!$E$1:$U$1,0)),02_RAW_DATA!$B$2:$B$57,$B37,02_RAW_DATA!$D$2:$D$57,01_README!$C$33))</f>
        <v>75.5803954463061</v>
      </c>
      <c r="K37" s="11" t="n">
        <f aca="false">IF(COUNTIFS(02_RAW_DATA!$B$2:$B$57,$B37,02_RAW_DATA!$D$2:$D$57,01_README!$C$34,INDEX(02_RAW_DATA!$E$2:$U$57,0,MATCH($C37&amp;" [YR"&amp;$C37&amp;"]",02_RAW_DATA!$E$1:$U$1,0)),"&gt;-1E+300")=0,"",SUMIFS(INDEX(02_RAW_DATA!$E$2:$U$57,0,MATCH($C37&amp;" [YR"&amp;$C37&amp;"]",02_RAW_DATA!$E$1:$U$1,0)),02_RAW_DATA!$B$2:$B$57,$B37,02_RAW_DATA!$D$2:$D$57,01_README!$C$34))</f>
        <v>69.9218351786551</v>
      </c>
      <c r="L37" s="11" t="n">
        <f aca="false">IF(COUNTIFS(02_RAW_DATA!$B$2:$B$57,$B37,02_RAW_DATA!$D$2:$D$57,01_README!$C$35,INDEX(02_RAW_DATA!$E$2:$U$57,0,MATCH($C37&amp;" [YR"&amp;$C37&amp;"]",02_RAW_DATA!$E$1:$U$1,0)),"&gt;-1E+300")=0,"",SUMIFS(INDEX(02_RAW_DATA!$E$2:$U$57,0,MATCH($C37&amp;" [YR"&amp;$C37&amp;"]",02_RAW_DATA!$E$1:$U$1,0)),02_RAW_DATA!$B$2:$B$57,$B37,02_RAW_DATA!$D$2:$D$57,01_README!$C$35))</f>
        <v>145.502230624961</v>
      </c>
      <c r="M37" s="10" t="n">
        <f aca="false">IF(COUNTIFS(02_RAW_DATA!$B$2:$B$57,$B37,02_RAW_DATA!$D$2:$D$57,01_README!$C$36,INDEX(02_RAW_DATA!$E$2:$U$57,0,MATCH($C37&amp;" [YR"&amp;$C37&amp;"]",02_RAW_DATA!$E$1:$U$1,0)),"&gt;-1E+300")=0,"",SUMIFS(INDEX(02_RAW_DATA!$E$2:$U$57,0,MATCH($C37&amp;" [YR"&amp;$C37&amp;"]",02_RAW_DATA!$E$1:$U$1,0)),02_RAW_DATA!$B$2:$B$57,$B37,02_RAW_DATA!$D$2:$D$57,01_README!$C$36))</f>
        <v>7357578652.57</v>
      </c>
      <c r="N37" s="11" t="n">
        <f aca="false">IF(COUNTIFS(02_RAW_DATA!$B$2:$B$57,$B37,02_RAW_DATA!$D$2:$D$57,01_README!$C$37,INDEX(02_RAW_DATA!$E$2:$U$57,0,MATCH($C37&amp;" [YR"&amp;$C37&amp;"]",02_RAW_DATA!$E$1:$U$1,0)),"&gt;-1E+300")=0,"",SUMIFS(INDEX(02_RAW_DATA!$E$2:$U$57,0,MATCH($C37&amp;" [YR"&amp;$C37&amp;"]",02_RAW_DATA!$E$1:$U$1,0)),02_RAW_DATA!$B$2:$B$57,$B37,02_RAW_DATA!$D$2:$D$57,01_README!$C$37))</f>
        <v>3.45386726376292</v>
      </c>
      <c r="O37" s="11" t="n">
        <f aca="false">IF(COUNTIFS(02_RAW_DATA!$B$2:$B$57,$B37,02_RAW_DATA!$D$2:$D$57,01_README!$C$38,INDEX(02_RAW_DATA!$E$2:$U$57,0,MATCH($C37&amp;" [YR"&amp;$C37&amp;"]",02_RAW_DATA!$E$1:$U$1,0)),"&gt;-1E+300")=0,"",SUMIFS(INDEX(02_RAW_DATA!$E$2:$U$57,0,MATCH($C37&amp;" [YR"&amp;$C37&amp;"]",02_RAW_DATA!$E$1:$U$1,0)),02_RAW_DATA!$B$2:$B$57,$B37,02_RAW_DATA!$D$2:$D$57,01_README!$C$38))</f>
        <v>21.7617319791193</v>
      </c>
      <c r="P37" s="11" t="n">
        <f aca="false">IF(COUNTIFS(02_RAW_DATA!$B$2:$B$57,$B37,02_RAW_DATA!$D$2:$D$57,01_README!$C$39,INDEX(02_RAW_DATA!$E$2:$U$57,0,MATCH($C37&amp;" [YR"&amp;$C37&amp;"]",02_RAW_DATA!$E$1:$U$1,0)),"&gt;-1E+300")=0,"",SUMIFS(INDEX(02_RAW_DATA!$E$2:$U$57,0,MATCH($C37&amp;" [YR"&amp;$C37&amp;"]",02_RAW_DATA!$E$1:$U$1,0)),02_RAW_DATA!$B$2:$B$57,$B37,02_RAW_DATA!$D$2:$D$57,01_README!$C$39))</f>
        <v>-0.519137991701544</v>
      </c>
      <c r="Q37" s="10" t="n">
        <f aca="false">IF(COUNTIFS(02_RAW_DATA!$B$2:$B$57,$B37,02_RAW_DATA!$D$2:$D$57,01_README!$C$40,INDEX(02_RAW_DATA!$E$2:$U$57,0,MATCH($C37&amp;" [YR"&amp;$C37&amp;"]",02_RAW_DATA!$E$1:$U$1,0)),"&gt;-1E+300")=0,"",SUMIFS(INDEX(02_RAW_DATA!$E$2:$U$57,0,MATCH($C37&amp;" [YR"&amp;$C37&amp;"]",02_RAW_DATA!$E$1:$U$1,0)),02_RAW_DATA!$B$2:$B$57,$B37,02_RAW_DATA!$D$2:$D$57,01_README!$C$40))</f>
        <v>162274000000</v>
      </c>
    </row>
    <row r="38" customFormat="false" ht="15" hidden="false" customHeight="false" outlineLevel="0" collapsed="false">
      <c r="A38" s="8" t="s">
        <v>131</v>
      </c>
      <c r="B38" s="8" t="s">
        <v>132</v>
      </c>
      <c r="C38" s="8" t="n">
        <v>2014</v>
      </c>
      <c r="D38" s="10" t="n">
        <f aca="false">IF(COUNTIFS(02_RAW_DATA!$B$2:$B$57,$B38,02_RAW_DATA!$D$2:$D$57,01_README!$C$27,INDEX(02_RAW_DATA!$E$2:$U$57,0,MATCH($C38&amp;" [YR"&amp;$C38&amp;"]",02_RAW_DATA!$E$1:$U$1,0)),"&gt;-1E+300")=0,"",SUMIFS(INDEX(02_RAW_DATA!$E$2:$U$57,0,MATCH($C38&amp;" [YR"&amp;$C38&amp;"]",02_RAW_DATA!$E$1:$U$1,0)),02_RAW_DATA!$B$2:$B$57,$B38,02_RAW_DATA!$D$2:$D$57,01_README!$C$27))</f>
        <v>210911285077.683</v>
      </c>
      <c r="E38" s="11" t="n">
        <f aca="false">IF(COUNTIFS(02_RAW_DATA!$B$2:$B$57,$B38,02_RAW_DATA!$D$2:$D$57,01_README!$C$28,INDEX(02_RAW_DATA!$E$2:$U$57,0,MATCH($C38&amp;" [YR"&amp;$C38&amp;"]",02_RAW_DATA!$E$1:$U$1,0)),"&gt;-1E+300")=0,"",SUMIFS(INDEX(02_RAW_DATA!$E$2:$U$57,0,MATCH($C38&amp;" [YR"&amp;$C38&amp;"]",02_RAW_DATA!$E$1:$U$1,0)),02_RAW_DATA!$B$2:$B$57,$B38,02_RAW_DATA!$D$2:$D$57,01_README!$C$28))</f>
        <v>2.24521219862635</v>
      </c>
      <c r="F38" s="10" t="n">
        <f aca="false">IF(COUNTIFS(02_RAW_DATA!$B$2:$B$57,$B38,02_RAW_DATA!$D$2:$D$57,01_README!$C$29,INDEX(02_RAW_DATA!$E$2:$U$57,0,MATCH($C38&amp;" [YR"&amp;$C38&amp;"]",02_RAW_DATA!$E$1:$U$1,0)),"&gt;-1E+300")=0,"",SUMIFS(INDEX(02_RAW_DATA!$E$2:$U$57,0,MATCH($C38&amp;" [YR"&amp;$C38&amp;"]",02_RAW_DATA!$E$1:$U$1,0)),02_RAW_DATA!$B$2:$B$57,$B38,02_RAW_DATA!$D$2:$D$57,01_README!$C$29))</f>
        <v>20038.4163180257</v>
      </c>
      <c r="G38" s="10" t="n">
        <f aca="false">IF(COUNTIFS(02_RAW_DATA!$B$2:$B$57,$B38,02_RAW_DATA!$D$2:$D$57,01_README!$C$30,INDEX(02_RAW_DATA!$E$2:$U$57,0,MATCH($C38&amp;" [YR"&amp;$C38&amp;"]",02_RAW_DATA!$E$1:$U$1,0)),"&gt;-1E+300")=0,"",SUMIFS(INDEX(02_RAW_DATA!$E$2:$U$57,0,MATCH($C38&amp;" [YR"&amp;$C38&amp;"]",02_RAW_DATA!$E$1:$U$1,0)),02_RAW_DATA!$B$2:$B$57,$B38,02_RAW_DATA!$D$2:$D$57,01_README!$C$30))</f>
        <v>171578513790.196</v>
      </c>
      <c r="H38" s="10" t="n">
        <f aca="false">IF(COUNTIFS(02_RAW_DATA!$B$2:$B$57,$B38,02_RAW_DATA!$D$2:$D$57,01_README!$C$31,INDEX(02_RAW_DATA!$E$2:$U$57,0,MATCH($C38&amp;" [YR"&amp;$C38&amp;"]",02_RAW_DATA!$E$1:$U$1,0)),"&gt;-1E+300")=0,"",SUMIFS(INDEX(02_RAW_DATA!$E$2:$U$57,0,MATCH($C38&amp;" [YR"&amp;$C38&amp;"]",02_RAW_DATA!$E$1:$U$1,0)),02_RAW_DATA!$B$2:$B$57,$B38,02_RAW_DATA!$D$2:$D$57,01_README!$C$31))</f>
        <v>142864175439.286</v>
      </c>
      <c r="I38" s="10" t="n">
        <f aca="false">IF(COUNTIFS(02_RAW_DATA!$B$2:$B$57,$B38,02_RAW_DATA!$D$2:$D$57,01_README!$C$32,INDEX(02_RAW_DATA!$E$2:$U$57,0,MATCH($C38&amp;" [YR"&amp;$C38&amp;"]",02_RAW_DATA!$E$1:$U$1,0)),"&gt;-1E+300")=0,"",SUMIFS(INDEX(02_RAW_DATA!$E$2:$U$57,0,MATCH($C38&amp;" [YR"&amp;$C38&amp;"]",02_RAW_DATA!$E$1:$U$1,0)),02_RAW_DATA!$B$2:$B$57,$B38,02_RAW_DATA!$D$2:$D$57,01_README!$C$32))</f>
        <v>158318631819.824</v>
      </c>
      <c r="J38" s="11" t="n">
        <f aca="false">IF(COUNTIFS(02_RAW_DATA!$B$2:$B$57,$B38,02_RAW_DATA!$D$2:$D$57,01_README!$C$33,INDEX(02_RAW_DATA!$E$2:$U$57,0,MATCH($C38&amp;" [YR"&amp;$C38&amp;"]",02_RAW_DATA!$E$1:$U$1,0)),"&gt;-1E+300")=0,"",SUMIFS(INDEX(02_RAW_DATA!$E$2:$U$57,0,MATCH($C38&amp;" [YR"&amp;$C38&amp;"]",02_RAW_DATA!$E$1:$U$1,0)),02_RAW_DATA!$B$2:$B$57,$B38,02_RAW_DATA!$D$2:$D$57,01_README!$C$33))</f>
        <v>81.3510352122697</v>
      </c>
      <c r="K38" s="11" t="n">
        <f aca="false">IF(COUNTIFS(02_RAW_DATA!$B$2:$B$57,$B38,02_RAW_DATA!$D$2:$D$57,01_README!$C$34,INDEX(02_RAW_DATA!$E$2:$U$57,0,MATCH($C38&amp;" [YR"&amp;$C38&amp;"]",02_RAW_DATA!$E$1:$U$1,0)),"&gt;-1E+300")=0,"",SUMIFS(INDEX(02_RAW_DATA!$E$2:$U$57,0,MATCH($C38&amp;" [YR"&amp;$C38&amp;"]",02_RAW_DATA!$E$1:$U$1,0)),02_RAW_DATA!$B$2:$B$57,$B38,02_RAW_DATA!$D$2:$D$57,01_README!$C$34))</f>
        <v>75.0640876146159</v>
      </c>
      <c r="L38" s="11" t="n">
        <f aca="false">IF(COUNTIFS(02_RAW_DATA!$B$2:$B$57,$B38,02_RAW_DATA!$D$2:$D$57,01_README!$C$35,INDEX(02_RAW_DATA!$E$2:$U$57,0,MATCH($C38&amp;" [YR"&amp;$C38&amp;"]",02_RAW_DATA!$E$1:$U$1,0)),"&gt;-1E+300")=0,"",SUMIFS(INDEX(02_RAW_DATA!$E$2:$U$57,0,MATCH($C38&amp;" [YR"&amp;$C38&amp;"]",02_RAW_DATA!$E$1:$U$1,0)),02_RAW_DATA!$B$2:$B$57,$B38,02_RAW_DATA!$D$2:$D$57,01_README!$C$35))</f>
        <v>156.415122826886</v>
      </c>
      <c r="M38" s="10" t="n">
        <f aca="false">IF(COUNTIFS(02_RAW_DATA!$B$2:$B$57,$B38,02_RAW_DATA!$D$2:$D$57,01_README!$C$36,INDEX(02_RAW_DATA!$E$2:$U$57,0,MATCH($C38&amp;" [YR"&amp;$C38&amp;"]",02_RAW_DATA!$E$1:$U$1,0)),"&gt;-1E+300")=0,"",SUMIFS(INDEX(02_RAW_DATA!$E$2:$U$57,0,MATCH($C38&amp;" [YR"&amp;$C38&amp;"]",02_RAW_DATA!$E$1:$U$1,0)),02_RAW_DATA!$B$2:$B$57,$B38,02_RAW_DATA!$D$2:$D$57,01_README!$C$36))</f>
        <v>8088661929.8803</v>
      </c>
      <c r="N38" s="11" t="n">
        <f aca="false">IF(COUNTIFS(02_RAW_DATA!$B$2:$B$57,$B38,02_RAW_DATA!$D$2:$D$57,01_README!$C$37,INDEX(02_RAW_DATA!$E$2:$U$57,0,MATCH($C38&amp;" [YR"&amp;$C38&amp;"]",02_RAW_DATA!$E$1:$U$1,0)),"&gt;-1E+300")=0,"",SUMIFS(INDEX(02_RAW_DATA!$E$2:$U$57,0,MATCH($C38&amp;" [YR"&amp;$C38&amp;"]",02_RAW_DATA!$E$1:$U$1,0)),02_RAW_DATA!$B$2:$B$57,$B38,02_RAW_DATA!$D$2:$D$57,01_README!$C$37))</f>
        <v>3.83510153423089</v>
      </c>
      <c r="O38" s="11" t="n">
        <f aca="false">IF(COUNTIFS(02_RAW_DATA!$B$2:$B$57,$B38,02_RAW_DATA!$D$2:$D$57,01_README!$C$38,INDEX(02_RAW_DATA!$E$2:$U$57,0,MATCH($C38&amp;" [YR"&amp;$C38&amp;"]",02_RAW_DATA!$E$1:$U$1,0)),"&gt;-1E+300")=0,"",SUMIFS(INDEX(02_RAW_DATA!$E$2:$U$57,0,MATCH($C38&amp;" [YR"&amp;$C38&amp;"]",02_RAW_DATA!$E$1:$U$1,0)),02_RAW_DATA!$B$2:$B$57,$B38,02_RAW_DATA!$D$2:$D$57,01_README!$C$38))</f>
        <v>23.4691665652122</v>
      </c>
      <c r="P38" s="11" t="n">
        <f aca="false">IF(COUNTIFS(02_RAW_DATA!$B$2:$B$57,$B38,02_RAW_DATA!$D$2:$D$57,01_README!$C$39,INDEX(02_RAW_DATA!$E$2:$U$57,0,MATCH($C38&amp;" [YR"&amp;$C38&amp;"]",02_RAW_DATA!$E$1:$U$1,0)),"&gt;-1E+300")=0,"",SUMIFS(INDEX(02_RAW_DATA!$E$2:$U$57,0,MATCH($C38&amp;" [YR"&amp;$C38&amp;"]",02_RAW_DATA!$E$1:$U$1,0)),02_RAW_DATA!$B$2:$B$57,$B38,02_RAW_DATA!$D$2:$D$57,01_README!$C$39))</f>
        <v>0.217020094001342</v>
      </c>
      <c r="Q38" s="10" t="n">
        <f aca="false">IF(COUNTIFS(02_RAW_DATA!$B$2:$B$57,$B38,02_RAW_DATA!$D$2:$D$57,01_README!$C$40,INDEX(02_RAW_DATA!$E$2:$U$57,0,MATCH($C38&amp;" [YR"&amp;$C38&amp;"]",02_RAW_DATA!$E$1:$U$1,0)),"&gt;-1E+300")=0,"",SUMIFS(INDEX(02_RAW_DATA!$E$2:$U$57,0,MATCH($C38&amp;" [YR"&amp;$C38&amp;"]",02_RAW_DATA!$E$1:$U$1,0)),02_RAW_DATA!$B$2:$B$57,$B38,02_RAW_DATA!$D$2:$D$57,01_README!$C$40))</f>
        <v>175021000000</v>
      </c>
    </row>
    <row r="39" customFormat="false" ht="15" hidden="false" customHeight="false" outlineLevel="0" collapsed="false">
      <c r="A39" s="8" t="s">
        <v>131</v>
      </c>
      <c r="B39" s="8" t="s">
        <v>132</v>
      </c>
      <c r="C39" s="8" t="n">
        <v>2015</v>
      </c>
      <c r="D39" s="10" t="n">
        <f aca="false">IF(COUNTIFS(02_RAW_DATA!$B$2:$B$57,$B39,02_RAW_DATA!$D$2:$D$57,01_README!$C$27,INDEX(02_RAW_DATA!$E$2:$U$57,0,MATCH($C39&amp;" [YR"&amp;$C39&amp;"]",02_RAW_DATA!$E$1:$U$1,0)),"&gt;-1E+300")=0,"",SUMIFS(INDEX(02_RAW_DATA!$E$2:$U$57,0,MATCH($C39&amp;" [YR"&amp;$C39&amp;"]",02_RAW_DATA!$E$1:$U$1,0)),02_RAW_DATA!$B$2:$B$57,$B39,02_RAW_DATA!$D$2:$D$57,01_README!$C$27))</f>
        <v>189107698561.919</v>
      </c>
      <c r="E39" s="11" t="n">
        <f aca="false">IF(COUNTIFS(02_RAW_DATA!$B$2:$B$57,$B39,02_RAW_DATA!$D$2:$D$57,01_README!$C$28,INDEX(02_RAW_DATA!$E$2:$U$57,0,MATCH($C39&amp;" [YR"&amp;$C39&amp;"]",02_RAW_DATA!$E$1:$U$1,0)),"&gt;-1E+300")=0,"",SUMIFS(INDEX(02_RAW_DATA!$E$2:$U$57,0,MATCH($C39&amp;" [YR"&amp;$C39&amp;"]",02_RAW_DATA!$E$1:$U$1,0)),02_RAW_DATA!$B$2:$B$57,$B39,02_RAW_DATA!$D$2:$D$57,01_README!$C$28))</f>
        <v>4.95875848915604</v>
      </c>
      <c r="F39" s="10" t="n">
        <f aca="false">IF(COUNTIFS(02_RAW_DATA!$B$2:$B$57,$B39,02_RAW_DATA!$D$2:$D$57,01_README!$C$29,INDEX(02_RAW_DATA!$E$2:$U$57,0,MATCH($C39&amp;" [YR"&amp;$C39&amp;"]",02_RAW_DATA!$E$1:$U$1,0)),"&gt;-1E+300")=0,"",SUMIFS(INDEX(02_RAW_DATA!$E$2:$U$57,0,MATCH($C39&amp;" [YR"&amp;$C39&amp;"]",02_RAW_DATA!$E$1:$U$1,0)),02_RAW_DATA!$B$2:$B$57,$B39,02_RAW_DATA!$D$2:$D$57,01_README!$C$29))</f>
        <v>17931.5987670768</v>
      </c>
      <c r="G39" s="10" t="n">
        <f aca="false">IF(COUNTIFS(02_RAW_DATA!$B$2:$B$57,$B39,02_RAW_DATA!$D$2:$D$57,01_README!$C$30,INDEX(02_RAW_DATA!$E$2:$U$57,0,MATCH($C39&amp;" [YR"&amp;$C39&amp;"]",02_RAW_DATA!$E$1:$U$1,0)),"&gt;-1E+300")=0,"",SUMIFS(INDEX(02_RAW_DATA!$E$2:$U$57,0,MATCH($C39&amp;" [YR"&amp;$C39&amp;"]",02_RAW_DATA!$E$1:$U$1,0)),02_RAW_DATA!$B$2:$B$57,$B39,02_RAW_DATA!$D$2:$D$57,01_README!$C$30))</f>
        <v>151309924284.771</v>
      </c>
      <c r="H39" s="10" t="n">
        <f aca="false">IF(COUNTIFS(02_RAW_DATA!$B$2:$B$57,$B39,02_RAW_DATA!$D$2:$D$57,01_README!$C$31,INDEX(02_RAW_DATA!$E$2:$U$57,0,MATCH($C39&amp;" [YR"&amp;$C39&amp;"]",02_RAW_DATA!$E$1:$U$1,0)),"&gt;-1E+300")=0,"",SUMIFS(INDEX(02_RAW_DATA!$E$2:$U$57,0,MATCH($C39&amp;" [YR"&amp;$C39&amp;"]",02_RAW_DATA!$E$1:$U$1,0)),02_RAW_DATA!$B$2:$B$57,$B39,02_RAW_DATA!$D$2:$D$57,01_README!$C$31))</f>
        <v>151309924284.771</v>
      </c>
      <c r="I39" s="10" t="n">
        <f aca="false">IF(COUNTIFS(02_RAW_DATA!$B$2:$B$57,$B39,02_RAW_DATA!$D$2:$D$57,01_README!$C$32,INDEX(02_RAW_DATA!$E$2:$U$57,0,MATCH($C39&amp;" [YR"&amp;$C39&amp;"]",02_RAW_DATA!$E$1:$U$1,0)),"&gt;-1E+300")=0,"",SUMIFS(INDEX(02_RAW_DATA!$E$2:$U$57,0,MATCH($C39&amp;" [YR"&amp;$C39&amp;"]",02_RAW_DATA!$E$1:$U$1,0)),02_RAW_DATA!$B$2:$B$57,$B39,02_RAW_DATA!$D$2:$D$57,01_README!$C$32))</f>
        <v>139950729203.72</v>
      </c>
      <c r="J39" s="11" t="n">
        <f aca="false">IF(COUNTIFS(02_RAW_DATA!$B$2:$B$57,$B39,02_RAW_DATA!$D$2:$D$57,01_README!$C$33,INDEX(02_RAW_DATA!$E$2:$U$57,0,MATCH($C39&amp;" [YR"&amp;$C39&amp;"]",02_RAW_DATA!$E$1:$U$1,0)),"&gt;-1E+300")=0,"",SUMIFS(INDEX(02_RAW_DATA!$E$2:$U$57,0,MATCH($C39&amp;" [YR"&amp;$C39&amp;"]",02_RAW_DATA!$E$1:$U$1,0)),02_RAW_DATA!$B$2:$B$57,$B39,02_RAW_DATA!$D$2:$D$57,01_README!$C$33))</f>
        <v>80.0125671431762</v>
      </c>
      <c r="K39" s="11" t="n">
        <f aca="false">IF(COUNTIFS(02_RAW_DATA!$B$2:$B$57,$B39,02_RAW_DATA!$D$2:$D$57,01_README!$C$34,INDEX(02_RAW_DATA!$E$2:$U$57,0,MATCH($C39&amp;" [YR"&amp;$C39&amp;"]",02_RAW_DATA!$E$1:$U$1,0)),"&gt;-1E+300")=0,"",SUMIFS(INDEX(02_RAW_DATA!$E$2:$U$57,0,MATCH($C39&amp;" [YR"&amp;$C39&amp;"]",02_RAW_DATA!$E$1:$U$1,0)),02_RAW_DATA!$B$2:$B$57,$B39,02_RAW_DATA!$D$2:$D$57,01_README!$C$34))</f>
        <v>74.0058338544563</v>
      </c>
      <c r="L39" s="11" t="n">
        <f aca="false">IF(COUNTIFS(02_RAW_DATA!$B$2:$B$57,$B39,02_RAW_DATA!$D$2:$D$57,01_README!$C$35,INDEX(02_RAW_DATA!$E$2:$U$57,0,MATCH($C39&amp;" [YR"&amp;$C39&amp;"]",02_RAW_DATA!$E$1:$U$1,0)),"&gt;-1E+300")=0,"",SUMIFS(INDEX(02_RAW_DATA!$E$2:$U$57,0,MATCH($C39&amp;" [YR"&amp;$C39&amp;"]",02_RAW_DATA!$E$1:$U$1,0)),02_RAW_DATA!$B$2:$B$57,$B39,02_RAW_DATA!$D$2:$D$57,01_README!$C$35))</f>
        <v>154.018400997633</v>
      </c>
      <c r="M39" s="10" t="n">
        <f aca="false">IF(COUNTIFS(02_RAW_DATA!$B$2:$B$57,$B39,02_RAW_DATA!$D$2:$D$57,01_README!$C$36,INDEX(02_RAW_DATA!$E$2:$U$57,0,MATCH($C39&amp;" [YR"&amp;$C39&amp;"]",02_RAW_DATA!$E$1:$U$1,0)),"&gt;-1E+300")=0,"",SUMIFS(INDEX(02_RAW_DATA!$E$2:$U$57,0,MATCH($C39&amp;" [YR"&amp;$C39&amp;"]",02_RAW_DATA!$E$1:$U$1,0)),02_RAW_DATA!$B$2:$B$57,$B39,02_RAW_DATA!$D$2:$D$57,01_README!$C$36))</f>
        <v>1699914616.60242</v>
      </c>
      <c r="N39" s="11" t="n">
        <f aca="false">IF(COUNTIFS(02_RAW_DATA!$B$2:$B$57,$B39,02_RAW_DATA!$D$2:$D$57,01_README!$C$37,INDEX(02_RAW_DATA!$E$2:$U$57,0,MATCH($C39&amp;" [YR"&amp;$C39&amp;"]",02_RAW_DATA!$E$1:$U$1,0)),"&gt;-1E+300")=0,"",SUMIFS(INDEX(02_RAW_DATA!$E$2:$U$57,0,MATCH($C39&amp;" [YR"&amp;$C39&amp;"]",02_RAW_DATA!$E$1:$U$1,0)),02_RAW_DATA!$B$2:$B$57,$B39,02_RAW_DATA!$D$2:$D$57,01_README!$C$37))</f>
        <v>0.898913491904098</v>
      </c>
      <c r="O39" s="11" t="n">
        <f aca="false">IF(COUNTIFS(02_RAW_DATA!$B$2:$B$57,$B39,02_RAW_DATA!$D$2:$D$57,01_README!$C$38,INDEX(02_RAW_DATA!$E$2:$U$57,0,MATCH($C39&amp;" [YR"&amp;$C39&amp;"]",02_RAW_DATA!$E$1:$U$1,0)),"&gt;-1E+300")=0,"",SUMIFS(INDEX(02_RAW_DATA!$E$2:$U$57,0,MATCH($C39&amp;" [YR"&amp;$C39&amp;"]",02_RAW_DATA!$E$1:$U$1,0)),02_RAW_DATA!$B$2:$B$57,$B39,02_RAW_DATA!$D$2:$D$57,01_README!$C$38))</f>
        <v>23.7339506123741</v>
      </c>
      <c r="P39" s="11" t="n">
        <f aca="false">IF(COUNTIFS(02_RAW_DATA!$B$2:$B$57,$B39,02_RAW_DATA!$D$2:$D$57,01_README!$C$39,INDEX(02_RAW_DATA!$E$2:$U$57,0,MATCH($C39&amp;" [YR"&amp;$C39&amp;"]",02_RAW_DATA!$E$1:$U$1,0)),"&gt;-1E+300")=0,"",SUMIFS(INDEX(02_RAW_DATA!$E$2:$U$57,0,MATCH($C39&amp;" [YR"&amp;$C39&amp;"]",02_RAW_DATA!$E$1:$U$1,0)),02_RAW_DATA!$B$2:$B$57,$B39,02_RAW_DATA!$D$2:$D$57,01_README!$C$39))</f>
        <v>0.446971205922034</v>
      </c>
      <c r="Q39" s="10" t="n">
        <f aca="false">IF(COUNTIFS(02_RAW_DATA!$B$2:$B$57,$B39,02_RAW_DATA!$D$2:$D$57,01_README!$C$40,INDEX(02_RAW_DATA!$E$2:$U$57,0,MATCH($C39&amp;" [YR"&amp;$C39&amp;"]",02_RAW_DATA!$E$1:$U$1,0)),"&gt;-1E+300")=0,"",SUMIFS(INDEX(02_RAW_DATA!$E$2:$U$57,0,MATCH($C39&amp;" [YR"&amp;$C39&amp;"]",02_RAW_DATA!$E$1:$U$1,0)),02_RAW_DATA!$B$2:$B$57,$B39,02_RAW_DATA!$D$2:$D$57,01_README!$C$40))</f>
        <v>157878000000</v>
      </c>
    </row>
    <row r="40" customFormat="false" ht="15" hidden="false" customHeight="false" outlineLevel="0" collapsed="false">
      <c r="A40" s="8" t="s">
        <v>131</v>
      </c>
      <c r="B40" s="8" t="s">
        <v>132</v>
      </c>
      <c r="C40" s="8" t="n">
        <v>2016</v>
      </c>
      <c r="D40" s="10" t="n">
        <f aca="false">IF(COUNTIFS(02_RAW_DATA!$B$2:$B$57,$B40,02_RAW_DATA!$D$2:$D$57,01_README!$C$27,INDEX(02_RAW_DATA!$E$2:$U$57,0,MATCH($C40&amp;" [YR"&amp;$C40&amp;"]",02_RAW_DATA!$E$1:$U$1,0)),"&gt;-1E+300")=0,"",SUMIFS(INDEX(02_RAW_DATA!$E$2:$U$57,0,MATCH($C40&amp;" [YR"&amp;$C40&amp;"]",02_RAW_DATA!$E$1:$U$1,0)),02_RAW_DATA!$B$2:$B$57,$B40,02_RAW_DATA!$D$2:$D$57,01_README!$C$27))</f>
        <v>198160659303.939</v>
      </c>
      <c r="E40" s="11" t="n">
        <f aca="false">IF(COUNTIFS(02_RAW_DATA!$B$2:$B$57,$B40,02_RAW_DATA!$D$2:$D$57,01_README!$C$28,INDEX(02_RAW_DATA!$E$2:$U$57,0,MATCH($C40&amp;" [YR"&amp;$C40&amp;"]",02_RAW_DATA!$E$1:$U$1,0)),"&gt;-1E+300")=0,"",SUMIFS(INDEX(02_RAW_DATA!$E$2:$U$57,0,MATCH($C40&amp;" [YR"&amp;$C40&amp;"]",02_RAW_DATA!$E$1:$U$1,0)),02_RAW_DATA!$B$2:$B$57,$B40,02_RAW_DATA!$D$2:$D$57,01_README!$C$28))</f>
        <v>2.58087013921376</v>
      </c>
      <c r="F40" s="10" t="n">
        <f aca="false">IF(COUNTIFS(02_RAW_DATA!$B$2:$B$57,$B40,02_RAW_DATA!$D$2:$D$57,01_README!$C$29,INDEX(02_RAW_DATA!$E$2:$U$57,0,MATCH($C40&amp;" [YR"&amp;$C40&amp;"]",02_RAW_DATA!$E$1:$U$1,0)),"&gt;-1E+300")=0,"",SUMIFS(INDEX(02_RAW_DATA!$E$2:$U$57,0,MATCH($C40&amp;" [YR"&amp;$C40&amp;"]",02_RAW_DATA!$E$1:$U$1,0)),02_RAW_DATA!$B$2:$B$57,$B40,02_RAW_DATA!$D$2:$D$57,01_README!$C$29))</f>
        <v>18753.9686718096</v>
      </c>
      <c r="G40" s="10" t="n">
        <f aca="false">IF(COUNTIFS(02_RAW_DATA!$B$2:$B$57,$B40,02_RAW_DATA!$D$2:$D$57,01_README!$C$30,INDEX(02_RAW_DATA!$E$2:$U$57,0,MATCH($C40&amp;" [YR"&amp;$C40&amp;"]",02_RAW_DATA!$E$1:$U$1,0)),"&gt;-1E+300")=0,"",SUMIFS(INDEX(02_RAW_DATA!$E$2:$U$57,0,MATCH($C40&amp;" [YR"&amp;$C40&amp;"]",02_RAW_DATA!$E$1:$U$1,0)),02_RAW_DATA!$B$2:$B$57,$B40,02_RAW_DATA!$D$2:$D$57,01_README!$C$30))</f>
        <v>154779987656.804</v>
      </c>
      <c r="H40" s="10" t="n">
        <f aca="false">IF(COUNTIFS(02_RAW_DATA!$B$2:$B$57,$B40,02_RAW_DATA!$D$2:$D$57,01_README!$C$31,INDEX(02_RAW_DATA!$E$2:$U$57,0,MATCH($C40&amp;" [YR"&amp;$C40&amp;"]",02_RAW_DATA!$E$1:$U$1,0)),"&gt;-1E+300")=0,"",SUMIFS(INDEX(02_RAW_DATA!$E$2:$U$57,0,MATCH($C40&amp;" [YR"&amp;$C40&amp;"]",02_RAW_DATA!$E$1:$U$1,0)),02_RAW_DATA!$B$2:$B$57,$B40,02_RAW_DATA!$D$2:$D$57,01_README!$C$31))</f>
        <v>157570285605.742</v>
      </c>
      <c r="I40" s="10" t="n">
        <f aca="false">IF(COUNTIFS(02_RAW_DATA!$B$2:$B$57,$B40,02_RAW_DATA!$D$2:$D$57,01_README!$C$32,INDEX(02_RAW_DATA!$E$2:$U$57,0,MATCH($C40&amp;" [YR"&amp;$C40&amp;"]",02_RAW_DATA!$E$1:$U$1,0)),"&gt;-1E+300")=0,"",SUMIFS(INDEX(02_RAW_DATA!$E$2:$U$57,0,MATCH($C40&amp;" [YR"&amp;$C40&amp;"]",02_RAW_DATA!$E$1:$U$1,0)),02_RAW_DATA!$B$2:$B$57,$B40,02_RAW_DATA!$D$2:$D$57,01_README!$C$32))</f>
        <v>139581736162.494</v>
      </c>
      <c r="J40" s="11" t="n">
        <f aca="false">IF(COUNTIFS(02_RAW_DATA!$B$2:$B$57,$B40,02_RAW_DATA!$D$2:$D$57,01_README!$C$33,INDEX(02_RAW_DATA!$E$2:$U$57,0,MATCH($C40&amp;" [YR"&amp;$C40&amp;"]",02_RAW_DATA!$E$1:$U$1,0)),"&gt;-1E+300")=0,"",SUMIFS(INDEX(02_RAW_DATA!$E$2:$U$57,0,MATCH($C40&amp;" [YR"&amp;$C40&amp;"]",02_RAW_DATA!$E$1:$U$1,0)),02_RAW_DATA!$B$2:$B$57,$B40,02_RAW_DATA!$D$2:$D$57,01_README!$C$33))</f>
        <v>78.108333006403</v>
      </c>
      <c r="K40" s="11" t="n">
        <f aca="false">IF(COUNTIFS(02_RAW_DATA!$B$2:$B$57,$B40,02_RAW_DATA!$D$2:$D$57,01_README!$C$34,INDEX(02_RAW_DATA!$E$2:$U$57,0,MATCH($C40&amp;" [YR"&amp;$C40&amp;"]",02_RAW_DATA!$E$1:$U$1,0)),"&gt;-1E+300")=0,"",SUMIFS(INDEX(02_RAW_DATA!$E$2:$U$57,0,MATCH($C40&amp;" [YR"&amp;$C40&amp;"]",02_RAW_DATA!$E$1:$U$1,0)),02_RAW_DATA!$B$2:$B$57,$B40,02_RAW_DATA!$D$2:$D$57,01_README!$C$34))</f>
        <v>70.4386716580323</v>
      </c>
      <c r="L40" s="11" t="n">
        <f aca="false">IF(COUNTIFS(02_RAW_DATA!$B$2:$B$57,$B40,02_RAW_DATA!$D$2:$D$57,01_README!$C$35,INDEX(02_RAW_DATA!$E$2:$U$57,0,MATCH($C40&amp;" [YR"&amp;$C40&amp;"]",02_RAW_DATA!$E$1:$U$1,0)),"&gt;-1E+300")=0,"",SUMIFS(INDEX(02_RAW_DATA!$E$2:$U$57,0,MATCH($C40&amp;" [YR"&amp;$C40&amp;"]",02_RAW_DATA!$E$1:$U$1,0)),02_RAW_DATA!$B$2:$B$57,$B40,02_RAW_DATA!$D$2:$D$57,01_README!$C$35))</f>
        <v>148.547004664435</v>
      </c>
      <c r="M40" s="10" t="n">
        <f aca="false">IF(COUNTIFS(02_RAW_DATA!$B$2:$B$57,$B40,02_RAW_DATA!$D$2:$D$57,01_README!$C$36,INDEX(02_RAW_DATA!$E$2:$U$57,0,MATCH($C40&amp;" [YR"&amp;$C40&amp;"]",02_RAW_DATA!$E$1:$U$1,0)),"&gt;-1E+300")=0,"",SUMIFS(INDEX(02_RAW_DATA!$E$2:$U$57,0,MATCH($C40&amp;" [YR"&amp;$C40&amp;"]",02_RAW_DATA!$E$1:$U$1,0)),02_RAW_DATA!$B$2:$B$57,$B40,02_RAW_DATA!$D$2:$D$57,01_README!$C$36))</f>
        <v>10850612308.2062</v>
      </c>
      <c r="N40" s="11" t="n">
        <f aca="false">IF(COUNTIFS(02_RAW_DATA!$B$2:$B$57,$B40,02_RAW_DATA!$D$2:$D$57,01_README!$C$37,INDEX(02_RAW_DATA!$E$2:$U$57,0,MATCH($C40&amp;" [YR"&amp;$C40&amp;"]",02_RAW_DATA!$E$1:$U$1,0)),"&gt;-1E+300")=0,"",SUMIFS(INDEX(02_RAW_DATA!$E$2:$U$57,0,MATCH($C40&amp;" [YR"&amp;$C40&amp;"]",02_RAW_DATA!$E$1:$U$1,0)),02_RAW_DATA!$B$2:$B$57,$B40,02_RAW_DATA!$D$2:$D$57,01_README!$C$37))</f>
        <v>5.47566421423918</v>
      </c>
      <c r="O40" s="11" t="n">
        <f aca="false">IF(COUNTIFS(02_RAW_DATA!$B$2:$B$57,$B40,02_RAW_DATA!$D$2:$D$57,01_README!$C$38,INDEX(02_RAW_DATA!$E$2:$U$57,0,MATCH($C40&amp;" [YR"&amp;$C40&amp;"]",02_RAW_DATA!$E$1:$U$1,0)),"&gt;-1E+300")=0,"",SUMIFS(INDEX(02_RAW_DATA!$E$2:$U$57,0,MATCH($C40&amp;" [YR"&amp;$C40&amp;"]",02_RAW_DATA!$E$1:$U$1,0)),02_RAW_DATA!$B$2:$B$57,$B40,02_RAW_DATA!$D$2:$D$57,01_README!$C$38))</f>
        <v>23.7610958428917</v>
      </c>
      <c r="P40" s="11" t="n">
        <f aca="false">IF(COUNTIFS(02_RAW_DATA!$B$2:$B$57,$B40,02_RAW_DATA!$D$2:$D$57,01_README!$C$39,INDEX(02_RAW_DATA!$E$2:$U$57,0,MATCH($C40&amp;" [YR"&amp;$C40&amp;"]",02_RAW_DATA!$E$1:$U$1,0)),"&gt;-1E+300")=0,"",SUMIFS(INDEX(02_RAW_DATA!$E$2:$U$57,0,MATCH($C40&amp;" [YR"&amp;$C40&amp;"]",02_RAW_DATA!$E$1:$U$1,0)),02_RAW_DATA!$B$2:$B$57,$B40,02_RAW_DATA!$D$2:$D$57,01_README!$C$39))</f>
        <v>1.74734921729713</v>
      </c>
      <c r="Q40" s="10" t="n">
        <f aca="false">IF(COUNTIFS(02_RAW_DATA!$B$2:$B$57,$B40,02_RAW_DATA!$D$2:$D$57,01_README!$C$40,INDEX(02_RAW_DATA!$E$2:$U$57,0,MATCH($C40&amp;" [YR"&amp;$C40&amp;"]",02_RAW_DATA!$E$1:$U$1,0)),"&gt;-1E+300")=0,"",SUMIFS(INDEX(02_RAW_DATA!$E$2:$U$57,0,MATCH($C40&amp;" [YR"&amp;$C40&amp;"]",02_RAW_DATA!$E$1:$U$1,0)),02_RAW_DATA!$B$2:$B$57,$B40,02_RAW_DATA!$D$2:$D$57,01_README!$C$40))</f>
        <v>162692000000</v>
      </c>
    </row>
    <row r="41" customFormat="false" ht="15" hidden="false" customHeight="false" outlineLevel="0" collapsed="false">
      <c r="A41" s="8" t="s">
        <v>131</v>
      </c>
      <c r="B41" s="8" t="s">
        <v>132</v>
      </c>
      <c r="C41" s="8" t="n">
        <v>2017</v>
      </c>
      <c r="D41" s="10" t="n">
        <f aca="false">IF(COUNTIFS(02_RAW_DATA!$B$2:$B$57,$B41,02_RAW_DATA!$D$2:$D$57,01_README!$C$27,INDEX(02_RAW_DATA!$E$2:$U$57,0,MATCH($C41&amp;" [YR"&amp;$C41&amp;"]",02_RAW_DATA!$E$1:$U$1,0)),"&gt;-1E+300")=0,"",SUMIFS(INDEX(02_RAW_DATA!$E$2:$U$57,0,MATCH($C41&amp;" [YR"&amp;$C41&amp;"]",02_RAW_DATA!$E$1:$U$1,0)),02_RAW_DATA!$B$2:$B$57,$B41,02_RAW_DATA!$D$2:$D$57,01_README!$C$27))</f>
        <v>221563575696.217</v>
      </c>
      <c r="E41" s="11" t="n">
        <f aca="false">IF(COUNTIFS(02_RAW_DATA!$B$2:$B$57,$B41,02_RAW_DATA!$D$2:$D$57,01_README!$C$28,INDEX(02_RAW_DATA!$E$2:$U$57,0,MATCH($C41&amp;" [YR"&amp;$C41&amp;"]",02_RAW_DATA!$E$1:$U$1,0)),"&gt;-1E+300")=0,"",SUMIFS(INDEX(02_RAW_DATA!$E$2:$U$57,0,MATCH($C41&amp;" [YR"&amp;$C41&amp;"]",02_RAW_DATA!$E$1:$U$1,0)),02_RAW_DATA!$B$2:$B$57,$B41,02_RAW_DATA!$D$2:$D$57,01_README!$C$28))</f>
        <v>5.17356529967881</v>
      </c>
      <c r="F41" s="10" t="n">
        <f aca="false">IF(COUNTIFS(02_RAW_DATA!$B$2:$B$57,$B41,02_RAW_DATA!$D$2:$D$57,01_README!$C$29,INDEX(02_RAW_DATA!$E$2:$U$57,0,MATCH($C41&amp;" [YR"&amp;$C41&amp;"]",02_RAW_DATA!$E$1:$U$1,0)),"&gt;-1E+300")=0,"",SUMIFS(INDEX(02_RAW_DATA!$E$2:$U$57,0,MATCH($C41&amp;" [YR"&amp;$C41&amp;"]",02_RAW_DATA!$E$1:$U$1,0)),02_RAW_DATA!$B$2:$B$57,$B41,02_RAW_DATA!$D$2:$D$57,01_README!$C$29))</f>
        <v>20913.197632212</v>
      </c>
      <c r="G41" s="10" t="n">
        <f aca="false">IF(COUNTIFS(02_RAW_DATA!$B$2:$B$57,$B41,02_RAW_DATA!$D$2:$D$57,01_README!$C$30,INDEX(02_RAW_DATA!$E$2:$U$57,0,MATCH($C41&amp;" [YR"&amp;$C41&amp;"]",02_RAW_DATA!$E$1:$U$1,0)),"&gt;-1E+300")=0,"",SUMIFS(INDEX(02_RAW_DATA!$E$2:$U$57,0,MATCH($C41&amp;" [YR"&amp;$C41&amp;"]",02_RAW_DATA!$E$1:$U$1,0)),02_RAW_DATA!$B$2:$B$57,$B41,02_RAW_DATA!$D$2:$D$57,01_README!$C$30))</f>
        <v>172120406679.12</v>
      </c>
      <c r="H41" s="10" t="n">
        <f aca="false">IF(COUNTIFS(02_RAW_DATA!$B$2:$B$57,$B41,02_RAW_DATA!$D$2:$D$57,01_README!$C$31,INDEX(02_RAW_DATA!$E$2:$U$57,0,MATCH($C41&amp;" [YR"&amp;$C41&amp;"]",02_RAW_DATA!$E$1:$U$1,0)),"&gt;-1E+300")=0,"",SUMIFS(INDEX(02_RAW_DATA!$E$2:$U$57,0,MATCH($C41&amp;" [YR"&amp;$C41&amp;"]",02_RAW_DATA!$E$1:$U$1,0)),02_RAW_DATA!$B$2:$B$57,$B41,02_RAW_DATA!$D$2:$D$57,01_README!$C$31))</f>
        <v>168762116201.436</v>
      </c>
      <c r="I41" s="10" t="n">
        <f aca="false">IF(COUNTIFS(02_RAW_DATA!$B$2:$B$57,$B41,02_RAW_DATA!$D$2:$D$57,01_README!$C$32,INDEX(02_RAW_DATA!$E$2:$U$57,0,MATCH($C41&amp;" [YR"&amp;$C41&amp;"]",02_RAW_DATA!$E$1:$U$1,0)),"&gt;-1E+300")=0,"",SUMIFS(INDEX(02_RAW_DATA!$E$2:$U$57,0,MATCH($C41&amp;" [YR"&amp;$C41&amp;"]",02_RAW_DATA!$E$1:$U$1,0)),02_RAW_DATA!$B$2:$B$57,$B41,02_RAW_DATA!$D$2:$D$57,01_README!$C$32))</f>
        <v>155241626146.102</v>
      </c>
      <c r="J41" s="11" t="n">
        <f aca="false">IF(COUNTIFS(02_RAW_DATA!$B$2:$B$57,$B41,02_RAW_DATA!$D$2:$D$57,01_README!$C$33,INDEX(02_RAW_DATA!$E$2:$U$57,0,MATCH($C41&amp;" [YR"&amp;$C41&amp;"]",02_RAW_DATA!$E$1:$U$1,0)),"&gt;-1E+300")=0,"",SUMIFS(INDEX(02_RAW_DATA!$E$2:$U$57,0,MATCH($C41&amp;" [YR"&amp;$C41&amp;"]",02_RAW_DATA!$E$1:$U$1,0)),02_RAW_DATA!$B$2:$B$57,$B41,02_RAW_DATA!$D$2:$D$57,01_README!$C$33))</f>
        <v>77.6844326231276</v>
      </c>
      <c r="K41" s="11" t="n">
        <f aca="false">IF(COUNTIFS(02_RAW_DATA!$B$2:$B$57,$B41,02_RAW_DATA!$D$2:$D$57,01_README!$C$34,INDEX(02_RAW_DATA!$E$2:$U$57,0,MATCH($C41&amp;" [YR"&amp;$C41&amp;"]",02_RAW_DATA!$E$1:$U$1,0)),"&gt;-1E+300")=0,"",SUMIFS(INDEX(02_RAW_DATA!$E$2:$U$57,0,MATCH($C41&amp;" [YR"&amp;$C41&amp;"]",02_RAW_DATA!$E$1:$U$1,0)),02_RAW_DATA!$B$2:$B$57,$B41,02_RAW_DATA!$D$2:$D$57,01_README!$C$34))</f>
        <v>70.066402231634</v>
      </c>
      <c r="L41" s="11" t="n">
        <f aca="false">IF(COUNTIFS(02_RAW_DATA!$B$2:$B$57,$B41,02_RAW_DATA!$D$2:$D$57,01_README!$C$35,INDEX(02_RAW_DATA!$E$2:$U$57,0,MATCH($C41&amp;" [YR"&amp;$C41&amp;"]",02_RAW_DATA!$E$1:$U$1,0)),"&gt;-1E+300")=0,"",SUMIFS(INDEX(02_RAW_DATA!$E$2:$U$57,0,MATCH($C41&amp;" [YR"&amp;$C41&amp;"]",02_RAW_DATA!$E$1:$U$1,0)),02_RAW_DATA!$B$2:$B$57,$B41,02_RAW_DATA!$D$2:$D$57,01_README!$C$35))</f>
        <v>147.750834854762</v>
      </c>
      <c r="M41" s="10" t="n">
        <f aca="false">IF(COUNTIFS(02_RAW_DATA!$B$2:$B$57,$B41,02_RAW_DATA!$D$2:$D$57,01_README!$C$36,INDEX(02_RAW_DATA!$E$2:$U$57,0,MATCH($C41&amp;" [YR"&amp;$C41&amp;"]",02_RAW_DATA!$E$1:$U$1,0)),"&gt;-1E+300")=0,"",SUMIFS(INDEX(02_RAW_DATA!$E$2:$U$57,0,MATCH($C41&amp;" [YR"&amp;$C41&amp;"]",02_RAW_DATA!$E$1:$U$1,0)),02_RAW_DATA!$B$2:$B$57,$B41,02_RAW_DATA!$D$2:$D$57,01_README!$C$36))</f>
        <v>11234740946.0941</v>
      </c>
      <c r="N41" s="11" t="n">
        <f aca="false">IF(COUNTIFS(02_RAW_DATA!$B$2:$B$57,$B41,02_RAW_DATA!$D$2:$D$57,01_README!$C$37,INDEX(02_RAW_DATA!$E$2:$U$57,0,MATCH($C41&amp;" [YR"&amp;$C41&amp;"]",02_RAW_DATA!$E$1:$U$1,0)),"&gt;-1E+300")=0,"",SUMIFS(INDEX(02_RAW_DATA!$E$2:$U$57,0,MATCH($C41&amp;" [YR"&amp;$C41&amp;"]",02_RAW_DATA!$E$1:$U$1,0)),02_RAW_DATA!$B$2:$B$57,$B41,02_RAW_DATA!$D$2:$D$57,01_README!$C$37))</f>
        <v>5.07066240955503</v>
      </c>
      <c r="O41" s="11" t="n">
        <f aca="false">IF(COUNTIFS(02_RAW_DATA!$B$2:$B$57,$B41,02_RAW_DATA!$D$2:$D$57,01_README!$C$38,INDEX(02_RAW_DATA!$E$2:$U$57,0,MATCH($C41&amp;" [YR"&amp;$C41&amp;"]",02_RAW_DATA!$E$1:$U$1,0)),"&gt;-1E+300")=0,"",SUMIFS(INDEX(02_RAW_DATA!$E$2:$U$57,0,MATCH($C41&amp;" [YR"&amp;$C41&amp;"]",02_RAW_DATA!$E$1:$U$1,0)),02_RAW_DATA!$B$2:$B$57,$B41,02_RAW_DATA!$D$2:$D$57,01_README!$C$38))</f>
        <v>23.1824532218752</v>
      </c>
      <c r="P41" s="11" t="n">
        <f aca="false">IF(COUNTIFS(02_RAW_DATA!$B$2:$B$57,$B41,02_RAW_DATA!$D$2:$D$57,01_README!$C$39,INDEX(02_RAW_DATA!$E$2:$U$57,0,MATCH($C41&amp;" [YR"&amp;$C41&amp;"]",02_RAW_DATA!$E$1:$U$1,0)),"&gt;-1E+300")=0,"",SUMIFS(INDEX(02_RAW_DATA!$E$2:$U$57,0,MATCH($C41&amp;" [YR"&amp;$C41&amp;"]",02_RAW_DATA!$E$1:$U$1,0)),02_RAW_DATA!$B$2:$B$57,$B41,02_RAW_DATA!$D$2:$D$57,01_README!$C$39))</f>
        <v>1.35301705500193</v>
      </c>
      <c r="Q41" s="10" t="n">
        <f aca="false">IF(COUNTIFS(02_RAW_DATA!$B$2:$B$57,$B41,02_RAW_DATA!$D$2:$D$57,01_README!$C$40,INDEX(02_RAW_DATA!$E$2:$U$57,0,MATCH($C41&amp;" [YR"&amp;$C41&amp;"]",02_RAW_DATA!$E$1:$U$1,0)),"&gt;-1E+300")=0,"",SUMIFS(INDEX(02_RAW_DATA!$E$2:$U$57,0,MATCH($C41&amp;" [YR"&amp;$C41&amp;"]",02_RAW_DATA!$E$1:$U$1,0)),02_RAW_DATA!$B$2:$B$57,$B41,02_RAW_DATA!$D$2:$D$57,01_README!$C$40))</f>
        <v>182142000000</v>
      </c>
    </row>
    <row r="42" customFormat="false" ht="15" hidden="false" customHeight="false" outlineLevel="0" collapsed="false">
      <c r="A42" s="8" t="s">
        <v>131</v>
      </c>
      <c r="B42" s="8" t="s">
        <v>132</v>
      </c>
      <c r="C42" s="8" t="n">
        <v>2018</v>
      </c>
      <c r="D42" s="10" t="n">
        <f aca="false">IF(COUNTIFS(02_RAW_DATA!$B$2:$B$57,$B42,02_RAW_DATA!$D$2:$D$57,01_README!$C$27,INDEX(02_RAW_DATA!$E$2:$U$57,0,MATCH($C42&amp;" [YR"&amp;$C42&amp;"]",02_RAW_DATA!$E$1:$U$1,0)),"&gt;-1E+300")=0,"",SUMIFS(INDEX(02_RAW_DATA!$E$2:$U$57,0,MATCH($C42&amp;" [YR"&amp;$C42&amp;"]",02_RAW_DATA!$E$1:$U$1,0)),02_RAW_DATA!$B$2:$B$57,$B42,02_RAW_DATA!$D$2:$D$57,01_README!$C$27))</f>
        <v>251992360762.236</v>
      </c>
      <c r="E42" s="11" t="n">
        <f aca="false">IF(COUNTIFS(02_RAW_DATA!$B$2:$B$57,$B42,02_RAW_DATA!$D$2:$D$57,01_README!$C$28,INDEX(02_RAW_DATA!$E$2:$U$57,0,MATCH($C42&amp;" [YR"&amp;$C42&amp;"]",02_RAW_DATA!$E$1:$U$1,0)),"&gt;-1E+300")=0,"",SUMIFS(INDEX(02_RAW_DATA!$E$2:$U$57,0,MATCH($C42&amp;" [YR"&amp;$C42&amp;"]",02_RAW_DATA!$E$1:$U$1,0)),02_RAW_DATA!$B$2:$B$57,$B42,02_RAW_DATA!$D$2:$D$57,01_README!$C$28))</f>
        <v>2.83030588267866</v>
      </c>
      <c r="F42" s="10" t="n">
        <f aca="false">IF(COUNTIFS(02_RAW_DATA!$B$2:$B$57,$B42,02_RAW_DATA!$D$2:$D$57,01_README!$C$29,INDEX(02_RAW_DATA!$E$2:$U$57,0,MATCH($C42&amp;" [YR"&amp;$C42&amp;"]",02_RAW_DATA!$E$1:$U$1,0)),"&gt;-1E+300")=0,"",SUMIFS(INDEX(02_RAW_DATA!$E$2:$U$57,0,MATCH($C42&amp;" [YR"&amp;$C42&amp;"]",02_RAW_DATA!$E$1:$U$1,0)),02_RAW_DATA!$B$2:$B$57,$B42,02_RAW_DATA!$D$2:$D$57,01_README!$C$29))</f>
        <v>23705.9329811299</v>
      </c>
      <c r="G42" s="10" t="n">
        <f aca="false">IF(COUNTIFS(02_RAW_DATA!$B$2:$B$57,$B42,02_RAW_DATA!$D$2:$D$57,01_README!$C$30,INDEX(02_RAW_DATA!$E$2:$U$57,0,MATCH($C42&amp;" [YR"&amp;$C42&amp;"]",02_RAW_DATA!$E$1:$U$1,0)),"&gt;-1E+300")=0,"",SUMIFS(INDEX(02_RAW_DATA!$E$2:$U$57,0,MATCH($C42&amp;" [YR"&amp;$C42&amp;"]",02_RAW_DATA!$E$1:$U$1,0)),02_RAW_DATA!$B$2:$B$57,$B42,02_RAW_DATA!$D$2:$D$57,01_README!$C$30))</f>
        <v>190530873335.148</v>
      </c>
      <c r="H42" s="10" t="n">
        <f aca="false">IF(COUNTIFS(02_RAW_DATA!$B$2:$B$57,$B42,02_RAW_DATA!$D$2:$D$57,01_README!$C$31,INDEX(02_RAW_DATA!$E$2:$U$57,0,MATCH($C42&amp;" [YR"&amp;$C42&amp;"]",02_RAW_DATA!$E$1:$U$1,0)),"&gt;-1E+300")=0,"",SUMIFS(INDEX(02_RAW_DATA!$E$2:$U$57,0,MATCH($C42&amp;" [YR"&amp;$C42&amp;"]",02_RAW_DATA!$E$1:$U$1,0)),02_RAW_DATA!$B$2:$B$57,$B42,02_RAW_DATA!$D$2:$D$57,01_README!$C$31))</f>
        <v>174671787428.767</v>
      </c>
      <c r="I42" s="10" t="n">
        <f aca="false">IF(COUNTIFS(02_RAW_DATA!$B$2:$B$57,$B42,02_RAW_DATA!$D$2:$D$57,01_README!$C$32,INDEX(02_RAW_DATA!$E$2:$U$57,0,MATCH($C42&amp;" [YR"&amp;$C42&amp;"]",02_RAW_DATA!$E$1:$U$1,0)),"&gt;-1E+300")=0,"",SUMIFS(INDEX(02_RAW_DATA!$E$2:$U$57,0,MATCH($C42&amp;" [YR"&amp;$C42&amp;"]",02_RAW_DATA!$E$1:$U$1,0)),02_RAW_DATA!$B$2:$B$57,$B42,02_RAW_DATA!$D$2:$D$57,01_README!$C$32))</f>
        <v>175215168028.716</v>
      </c>
      <c r="J42" s="11" t="n">
        <f aca="false">IF(COUNTIFS(02_RAW_DATA!$B$2:$B$57,$B42,02_RAW_DATA!$D$2:$D$57,01_README!$C$33,INDEX(02_RAW_DATA!$E$2:$U$57,0,MATCH($C42&amp;" [YR"&amp;$C42&amp;"]",02_RAW_DATA!$E$1:$U$1,0)),"&gt;-1E+300")=0,"",SUMIFS(INDEX(02_RAW_DATA!$E$2:$U$57,0,MATCH($C42&amp;" [YR"&amp;$C42&amp;"]",02_RAW_DATA!$E$1:$U$1,0)),02_RAW_DATA!$B$2:$B$57,$B42,02_RAW_DATA!$D$2:$D$57,01_README!$C$33))</f>
        <v>75.6097814865591</v>
      </c>
      <c r="K42" s="11" t="n">
        <f aca="false">IF(COUNTIFS(02_RAW_DATA!$B$2:$B$57,$B42,02_RAW_DATA!$D$2:$D$57,01_README!$C$34,INDEX(02_RAW_DATA!$E$2:$U$57,0,MATCH($C42&amp;" [YR"&amp;$C42&amp;"]",02_RAW_DATA!$E$1:$U$1,0)),"&gt;-1E+300")=0,"",SUMIFS(INDEX(02_RAW_DATA!$E$2:$U$57,0,MATCH($C42&amp;" [YR"&amp;$C42&amp;"]",02_RAW_DATA!$E$1:$U$1,0)),02_RAW_DATA!$B$2:$B$57,$B42,02_RAW_DATA!$D$2:$D$57,01_README!$C$34))</f>
        <v>69.5319364042301</v>
      </c>
      <c r="L42" s="11" t="n">
        <f aca="false">IF(COUNTIFS(02_RAW_DATA!$B$2:$B$57,$B42,02_RAW_DATA!$D$2:$D$57,01_README!$C$35,INDEX(02_RAW_DATA!$E$2:$U$57,0,MATCH($C42&amp;" [YR"&amp;$C42&amp;"]",02_RAW_DATA!$E$1:$U$1,0)),"&gt;-1E+300")=0,"",SUMIFS(INDEX(02_RAW_DATA!$E$2:$U$57,0,MATCH($C42&amp;" [YR"&amp;$C42&amp;"]",02_RAW_DATA!$E$1:$U$1,0)),02_RAW_DATA!$B$2:$B$57,$B42,02_RAW_DATA!$D$2:$D$57,01_README!$C$35))</f>
        <v>145.141717890789</v>
      </c>
      <c r="M42" s="10" t="n">
        <f aca="false">IF(COUNTIFS(02_RAW_DATA!$B$2:$B$57,$B42,02_RAW_DATA!$D$2:$D$57,01_README!$C$36,INDEX(02_RAW_DATA!$E$2:$U$57,0,MATCH($C42&amp;" [YR"&amp;$C42&amp;"]",02_RAW_DATA!$E$1:$U$1,0)),"&gt;-1E+300")=0,"",SUMIFS(INDEX(02_RAW_DATA!$E$2:$U$57,0,MATCH($C42&amp;" [YR"&amp;$C42&amp;"]",02_RAW_DATA!$E$1:$U$1,0)),02_RAW_DATA!$B$2:$B$57,$B42,02_RAW_DATA!$D$2:$D$57,01_README!$C$36))</f>
        <v>8324668391.46793</v>
      </c>
      <c r="N42" s="11" t="n">
        <f aca="false">IF(COUNTIFS(02_RAW_DATA!$B$2:$B$57,$B42,02_RAW_DATA!$D$2:$D$57,01_README!$C$37,INDEX(02_RAW_DATA!$E$2:$U$57,0,MATCH($C42&amp;" [YR"&amp;$C42&amp;"]",02_RAW_DATA!$E$1:$U$1,0)),"&gt;-1E+300")=0,"",SUMIFS(INDEX(02_RAW_DATA!$E$2:$U$57,0,MATCH($C42&amp;" [YR"&amp;$C42&amp;"]",02_RAW_DATA!$E$1:$U$1,0)),02_RAW_DATA!$B$2:$B$57,$B42,02_RAW_DATA!$D$2:$D$57,01_README!$C$37))</f>
        <v>3.30353998283407</v>
      </c>
      <c r="O42" s="11" t="n">
        <f aca="false">IF(COUNTIFS(02_RAW_DATA!$B$2:$B$57,$B42,02_RAW_DATA!$D$2:$D$57,01_README!$C$38,INDEX(02_RAW_DATA!$E$2:$U$57,0,MATCH($C42&amp;" [YR"&amp;$C42&amp;"]",02_RAW_DATA!$E$1:$U$1,0)),"&gt;-1E+300")=0,"",SUMIFS(INDEX(02_RAW_DATA!$E$2:$U$57,0,MATCH($C42&amp;" [YR"&amp;$C42&amp;"]",02_RAW_DATA!$E$1:$U$1,0)),02_RAW_DATA!$B$2:$B$57,$B42,02_RAW_DATA!$D$2:$D$57,01_README!$C$38))</f>
        <v>22.3060378872535</v>
      </c>
      <c r="P42" s="11" t="n">
        <f aca="false">IF(COUNTIFS(02_RAW_DATA!$B$2:$B$57,$B42,02_RAW_DATA!$D$2:$D$57,01_README!$C$39,INDEX(02_RAW_DATA!$E$2:$U$57,0,MATCH($C42&amp;" [YR"&amp;$C42&amp;"]",02_RAW_DATA!$E$1:$U$1,0)),"&gt;-1E+300")=0,"",SUMIFS(INDEX(02_RAW_DATA!$E$2:$U$57,0,MATCH($C42&amp;" [YR"&amp;$C42&amp;"]",02_RAW_DATA!$E$1:$U$1,0)),02_RAW_DATA!$B$2:$B$57,$B42,02_RAW_DATA!$D$2:$D$57,01_README!$C$39))</f>
        <v>0.451859774047591</v>
      </c>
      <c r="Q42" s="10" t="n">
        <f aca="false">IF(COUNTIFS(02_RAW_DATA!$B$2:$B$57,$B42,02_RAW_DATA!$D$2:$D$57,01_README!$C$40,INDEX(02_RAW_DATA!$E$2:$U$57,0,MATCH($C42&amp;" [YR"&amp;$C42&amp;"]",02_RAW_DATA!$E$1:$U$1,0)),"&gt;-1E+300")=0,"",SUMIFS(INDEX(02_RAW_DATA!$E$2:$U$57,0,MATCH($C42&amp;" [YR"&amp;$C42&amp;"]",02_RAW_DATA!$E$1:$U$1,0)),02_RAW_DATA!$B$2:$B$57,$B42,02_RAW_DATA!$D$2:$D$57,01_README!$C$40))</f>
        <v>202238000000</v>
      </c>
    </row>
    <row r="43" customFormat="false" ht="15" hidden="false" customHeight="false" outlineLevel="0" collapsed="false">
      <c r="A43" s="8" t="s">
        <v>131</v>
      </c>
      <c r="B43" s="8" t="s">
        <v>132</v>
      </c>
      <c r="C43" s="8" t="n">
        <v>2019</v>
      </c>
      <c r="D43" s="10" t="n">
        <f aca="false">IF(COUNTIFS(02_RAW_DATA!$B$2:$B$57,$B43,02_RAW_DATA!$D$2:$D$57,01_README!$C$27,INDEX(02_RAW_DATA!$E$2:$U$57,0,MATCH($C43&amp;" [YR"&amp;$C43&amp;"]",02_RAW_DATA!$E$1:$U$1,0)),"&gt;-1E+300")=0,"",SUMIFS(INDEX(02_RAW_DATA!$E$2:$U$57,0,MATCH($C43&amp;" [YR"&amp;$C43&amp;"]",02_RAW_DATA!$E$1:$U$1,0)),02_RAW_DATA!$B$2:$B$57,$B43,02_RAW_DATA!$D$2:$D$57,01_README!$C$27))</f>
        <v>256794209028.77</v>
      </c>
      <c r="E43" s="11" t="n">
        <f aca="false">IF(COUNTIFS(02_RAW_DATA!$B$2:$B$57,$B43,02_RAW_DATA!$D$2:$D$57,01_README!$C$28,INDEX(02_RAW_DATA!$E$2:$U$57,0,MATCH($C43&amp;" [YR"&amp;$C43&amp;"]",02_RAW_DATA!$E$1:$U$1,0)),"&gt;-1E+300")=0,"",SUMIFS(INDEX(02_RAW_DATA!$E$2:$U$57,0,MATCH($C43&amp;" [YR"&amp;$C43&amp;"]",02_RAW_DATA!$E$1:$U$1,0)),02_RAW_DATA!$B$2:$B$57,$B43,02_RAW_DATA!$D$2:$D$57,01_README!$C$28))</f>
        <v>3.56577658128261</v>
      </c>
      <c r="F43" s="10" t="n">
        <f aca="false">IF(COUNTIFS(02_RAW_DATA!$B$2:$B$57,$B43,02_RAW_DATA!$D$2:$D$57,01_README!$C$29,INDEX(02_RAW_DATA!$E$2:$U$57,0,MATCH($C43&amp;" [YR"&amp;$C43&amp;"]",02_RAW_DATA!$E$1:$U$1,0)),"&gt;-1E+300")=0,"",SUMIFS(INDEX(02_RAW_DATA!$E$2:$U$57,0,MATCH($C43&amp;" [YR"&amp;$C43&amp;"]",02_RAW_DATA!$E$1:$U$1,0)),02_RAW_DATA!$B$2:$B$57,$B43,02_RAW_DATA!$D$2:$D$57,01_README!$C$29))</f>
        <v>24062.7190013343</v>
      </c>
      <c r="G43" s="10" t="n">
        <f aca="false">IF(COUNTIFS(02_RAW_DATA!$B$2:$B$57,$B43,02_RAW_DATA!$D$2:$D$57,01_README!$C$30,INDEX(02_RAW_DATA!$E$2:$U$57,0,MATCH($C43&amp;" [YR"&amp;$C43&amp;"]",02_RAW_DATA!$E$1:$U$1,0)),"&gt;-1E+300")=0,"",SUMIFS(INDEX(02_RAW_DATA!$E$2:$U$57,0,MATCH($C43&amp;" [YR"&amp;$C43&amp;"]",02_RAW_DATA!$E$1:$U$1,0)),02_RAW_DATA!$B$2:$B$57,$B43,02_RAW_DATA!$D$2:$D$57,01_README!$C$30))</f>
        <v>185212440994.669</v>
      </c>
      <c r="H43" s="10" t="n">
        <f aca="false">IF(COUNTIFS(02_RAW_DATA!$B$2:$B$57,$B43,02_RAW_DATA!$D$2:$D$57,01_README!$C$31,INDEX(02_RAW_DATA!$E$2:$U$57,0,MATCH($C43&amp;" [YR"&amp;$C43&amp;"]",02_RAW_DATA!$E$1:$U$1,0)),"&gt;-1E+300")=0,"",SUMIFS(INDEX(02_RAW_DATA!$E$2:$U$57,0,MATCH($C43&amp;" [YR"&amp;$C43&amp;"]",02_RAW_DATA!$E$1:$U$1,0)),02_RAW_DATA!$B$2:$B$57,$B43,02_RAW_DATA!$D$2:$D$57,01_README!$C$31))</f>
        <v>176962730416.883</v>
      </c>
      <c r="I43" s="10" t="n">
        <f aca="false">IF(COUNTIFS(02_RAW_DATA!$B$2:$B$57,$B43,02_RAW_DATA!$D$2:$D$57,01_README!$C$32,INDEX(02_RAW_DATA!$E$2:$U$57,0,MATCH($C43&amp;" [YR"&amp;$C43&amp;"]",02_RAW_DATA!$E$1:$U$1,0)),"&gt;-1E+300")=0,"",SUMIFS(INDEX(02_RAW_DATA!$E$2:$U$57,0,MATCH($C43&amp;" [YR"&amp;$C43&amp;"]",02_RAW_DATA!$E$1:$U$1,0)),02_RAW_DATA!$B$2:$B$57,$B43,02_RAW_DATA!$D$2:$D$57,01_README!$C$32))</f>
        <v>169560596975.875</v>
      </c>
      <c r="J43" s="11" t="n">
        <f aca="false">IF(COUNTIFS(02_RAW_DATA!$B$2:$B$57,$B43,02_RAW_DATA!$D$2:$D$57,01_README!$C$33,INDEX(02_RAW_DATA!$E$2:$U$57,0,MATCH($C43&amp;" [YR"&amp;$C43&amp;"]",02_RAW_DATA!$E$1:$U$1,0)),"&gt;-1E+300")=0,"",SUMIFS(INDEX(02_RAW_DATA!$E$2:$U$57,0,MATCH($C43&amp;" [YR"&amp;$C43&amp;"]",02_RAW_DATA!$E$1:$U$1,0)),02_RAW_DATA!$B$2:$B$57,$B43,02_RAW_DATA!$D$2:$D$57,01_README!$C$33))</f>
        <v>72.1248511386482</v>
      </c>
      <c r="K43" s="11" t="n">
        <f aca="false">IF(COUNTIFS(02_RAW_DATA!$B$2:$B$57,$B43,02_RAW_DATA!$D$2:$D$57,01_README!$C$34,INDEX(02_RAW_DATA!$E$2:$U$57,0,MATCH($C43&amp;" [YR"&amp;$C43&amp;"]",02_RAW_DATA!$E$1:$U$1,0)),"&gt;-1E+300")=0,"",SUMIFS(INDEX(02_RAW_DATA!$E$2:$U$57,0,MATCH($C43&amp;" [YR"&amp;$C43&amp;"]",02_RAW_DATA!$E$1:$U$1,0)),02_RAW_DATA!$B$2:$B$57,$B43,02_RAW_DATA!$D$2:$D$57,01_README!$C$34))</f>
        <v>66.0297588552233</v>
      </c>
      <c r="L43" s="11" t="n">
        <f aca="false">IF(COUNTIFS(02_RAW_DATA!$B$2:$B$57,$B43,02_RAW_DATA!$D$2:$D$57,01_README!$C$35,INDEX(02_RAW_DATA!$E$2:$U$57,0,MATCH($C43&amp;" [YR"&amp;$C43&amp;"]",02_RAW_DATA!$E$1:$U$1,0)),"&gt;-1E+300")=0,"",SUMIFS(INDEX(02_RAW_DATA!$E$2:$U$57,0,MATCH($C43&amp;" [YR"&amp;$C43&amp;"]",02_RAW_DATA!$E$1:$U$1,0)),02_RAW_DATA!$B$2:$B$57,$B43,02_RAW_DATA!$D$2:$D$57,01_README!$C$35))</f>
        <v>138.154609993871</v>
      </c>
      <c r="M43" s="10" t="n">
        <f aca="false">IF(COUNTIFS(02_RAW_DATA!$B$2:$B$57,$B43,02_RAW_DATA!$D$2:$D$57,01_README!$C$36,INDEX(02_RAW_DATA!$E$2:$U$57,0,MATCH($C43&amp;" [YR"&amp;$C43&amp;"]",02_RAW_DATA!$E$1:$U$1,0)),"&gt;-1E+300")=0,"",SUMIFS(INDEX(02_RAW_DATA!$E$2:$U$57,0,MATCH($C43&amp;" [YR"&amp;$C43&amp;"]",02_RAW_DATA!$E$1:$U$1,0)),02_RAW_DATA!$B$2:$B$57,$B43,02_RAW_DATA!$D$2:$D$57,01_README!$C$36))</f>
        <v>10752120870.7679</v>
      </c>
      <c r="N43" s="11" t="n">
        <f aca="false">IF(COUNTIFS(02_RAW_DATA!$B$2:$B$57,$B43,02_RAW_DATA!$D$2:$D$57,01_README!$C$37,INDEX(02_RAW_DATA!$E$2:$U$57,0,MATCH($C43&amp;" [YR"&amp;$C43&amp;"]",02_RAW_DATA!$E$1:$U$1,0)),"&gt;-1E+300")=0,"",SUMIFS(INDEX(02_RAW_DATA!$E$2:$U$57,0,MATCH($C43&amp;" [YR"&amp;$C43&amp;"]",02_RAW_DATA!$E$1:$U$1,0)),02_RAW_DATA!$B$2:$B$57,$B43,02_RAW_DATA!$D$2:$D$57,01_README!$C$37))</f>
        <v>4.18705737619001</v>
      </c>
      <c r="O43" s="11" t="n">
        <f aca="false">IF(COUNTIFS(02_RAW_DATA!$B$2:$B$57,$B43,02_RAW_DATA!$D$2:$D$57,01_README!$C$38,INDEX(02_RAW_DATA!$E$2:$U$57,0,MATCH($C43&amp;" [YR"&amp;$C43&amp;"]",02_RAW_DATA!$E$1:$U$1,0)),"&gt;-1E+300")=0,"",SUMIFS(INDEX(02_RAW_DATA!$E$2:$U$57,0,MATCH($C43&amp;" [YR"&amp;$C43&amp;"]",02_RAW_DATA!$E$1:$U$1,0)),02_RAW_DATA!$B$2:$B$57,$B43,02_RAW_DATA!$D$2:$D$57,01_README!$C$38))</f>
        <v>22.1266766165116</v>
      </c>
      <c r="P43" s="11" t="n">
        <f aca="false">IF(COUNTIFS(02_RAW_DATA!$B$2:$B$57,$B43,02_RAW_DATA!$D$2:$D$57,01_README!$C$39,INDEX(02_RAW_DATA!$E$2:$U$57,0,MATCH($C43&amp;" [YR"&amp;$C43&amp;"]",02_RAW_DATA!$E$1:$U$1,0)),"&gt;-1E+300")=0,"",SUMIFS(INDEX(02_RAW_DATA!$E$2:$U$57,0,MATCH($C43&amp;" [YR"&amp;$C43&amp;"]",02_RAW_DATA!$E$1:$U$1,0)),02_RAW_DATA!$B$2:$B$57,$B43,02_RAW_DATA!$D$2:$D$57,01_README!$C$39))</f>
        <v>0.356195094422181</v>
      </c>
      <c r="Q43" s="10" t="n">
        <f aca="false">IF(COUNTIFS(02_RAW_DATA!$B$2:$B$57,$B43,02_RAW_DATA!$D$2:$D$57,01_README!$C$40,INDEX(02_RAW_DATA!$E$2:$U$57,0,MATCH($C43&amp;" [YR"&amp;$C43&amp;"]",02_RAW_DATA!$E$1:$U$1,0)),"&gt;-1E+300")=0,"",SUMIFS(INDEX(02_RAW_DATA!$E$2:$U$57,0,MATCH($C43&amp;" [YR"&amp;$C43&amp;"]",02_RAW_DATA!$E$1:$U$1,0)),02_RAW_DATA!$B$2:$B$57,$B43,02_RAW_DATA!$D$2:$D$57,01_README!$C$40))</f>
        <v>199128000000</v>
      </c>
    </row>
    <row r="44" customFormat="false" ht="15" hidden="false" customHeight="false" outlineLevel="0" collapsed="false">
      <c r="A44" s="8" t="s">
        <v>131</v>
      </c>
      <c r="B44" s="8" t="s">
        <v>132</v>
      </c>
      <c r="C44" s="8" t="n">
        <v>2020</v>
      </c>
      <c r="D44" s="10" t="n">
        <f aca="false">IF(COUNTIFS(02_RAW_DATA!$B$2:$B$57,$B44,02_RAW_DATA!$D$2:$D$57,01_README!$C$27,INDEX(02_RAW_DATA!$E$2:$U$57,0,MATCH($C44&amp;" [YR"&amp;$C44&amp;"]",02_RAW_DATA!$E$1:$U$1,0)),"&gt;-1E+300")=0,"",SUMIFS(INDEX(02_RAW_DATA!$E$2:$U$57,0,MATCH($C44&amp;" [YR"&amp;$C44&amp;"]",02_RAW_DATA!$E$1:$U$1,0)),02_RAW_DATA!$B$2:$B$57,$B44,02_RAW_DATA!$D$2:$D$57,01_README!$C$27))</f>
        <v>251109660602.536</v>
      </c>
      <c r="E44" s="11" t="n">
        <f aca="false">IF(COUNTIFS(02_RAW_DATA!$B$2:$B$57,$B44,02_RAW_DATA!$D$2:$D$57,01_README!$C$28,INDEX(02_RAW_DATA!$E$2:$U$57,0,MATCH($C44&amp;" [YR"&amp;$C44&amp;"]",02_RAW_DATA!$E$1:$U$1,0)),"&gt;-1E+300")=0,"",SUMIFS(INDEX(02_RAW_DATA!$E$2:$U$57,0,MATCH($C44&amp;" [YR"&amp;$C44&amp;"]",02_RAW_DATA!$E$1:$U$1,0)),02_RAW_DATA!$B$2:$B$57,$B44,02_RAW_DATA!$D$2:$D$57,01_README!$C$28))</f>
        <v>-5.30487955463876</v>
      </c>
      <c r="F44" s="10" t="n">
        <f aca="false">IF(COUNTIFS(02_RAW_DATA!$B$2:$B$57,$B44,02_RAW_DATA!$D$2:$D$57,01_README!$C$29,INDEX(02_RAW_DATA!$E$2:$U$57,0,MATCH($C44&amp;" [YR"&amp;$C44&amp;"]",02_RAW_DATA!$E$1:$U$1,0)),"&gt;-1E+300")=0,"",SUMIFS(INDEX(02_RAW_DATA!$E$2:$U$57,0,MATCH($C44&amp;" [YR"&amp;$C44&amp;"]",02_RAW_DATA!$E$1:$U$1,0)),02_RAW_DATA!$B$2:$B$57,$B44,02_RAW_DATA!$D$2:$D$57,01_README!$C$29))</f>
        <v>23472.8915454417</v>
      </c>
      <c r="G44" s="10" t="n">
        <f aca="false">IF(COUNTIFS(02_RAW_DATA!$B$2:$B$57,$B44,02_RAW_DATA!$D$2:$D$57,01_README!$C$30,INDEX(02_RAW_DATA!$E$2:$U$57,0,MATCH($C44&amp;" [YR"&amp;$C44&amp;"]",02_RAW_DATA!$E$1:$U$1,0)),"&gt;-1E+300")=0,"",SUMIFS(INDEX(02_RAW_DATA!$E$2:$U$57,0,MATCH($C44&amp;" [YR"&amp;$C44&amp;"]",02_RAW_DATA!$E$1:$U$1,0)),02_RAW_DATA!$B$2:$B$57,$B44,02_RAW_DATA!$D$2:$D$57,01_README!$C$30))</f>
        <v>170154349910.061</v>
      </c>
      <c r="H44" s="10" t="n">
        <f aca="false">IF(COUNTIFS(02_RAW_DATA!$B$2:$B$57,$B44,02_RAW_DATA!$D$2:$D$57,01_README!$C$31,INDEX(02_RAW_DATA!$E$2:$U$57,0,MATCH($C44&amp;" [YR"&amp;$C44&amp;"]",02_RAW_DATA!$E$1:$U$1,0)),"&gt;-1E+300")=0,"",SUMIFS(INDEX(02_RAW_DATA!$E$2:$U$57,0,MATCH($C44&amp;" [YR"&amp;$C44&amp;"]",02_RAW_DATA!$E$1:$U$1,0)),02_RAW_DATA!$B$2:$B$57,$B44,02_RAW_DATA!$D$2:$D$57,01_README!$C$31))</f>
        <v>161892361668.066</v>
      </c>
      <c r="I44" s="10" t="n">
        <f aca="false">IF(COUNTIFS(02_RAW_DATA!$B$2:$B$57,$B44,02_RAW_DATA!$D$2:$D$57,01_README!$C$32,INDEX(02_RAW_DATA!$E$2:$U$57,0,MATCH($C44&amp;" [YR"&amp;$C44&amp;"]",02_RAW_DATA!$E$1:$U$1,0)),"&gt;-1E+300")=0,"",SUMIFS(INDEX(02_RAW_DATA!$E$2:$U$57,0,MATCH($C44&amp;" [YR"&amp;$C44&amp;"]",02_RAW_DATA!$E$1:$U$1,0)),02_RAW_DATA!$B$2:$B$57,$B44,02_RAW_DATA!$D$2:$D$57,01_README!$C$32))</f>
        <v>153225751553.732</v>
      </c>
      <c r="J44" s="11" t="n">
        <f aca="false">IF(COUNTIFS(02_RAW_DATA!$B$2:$B$57,$B44,02_RAW_DATA!$D$2:$D$57,01_README!$C$33,INDEX(02_RAW_DATA!$E$2:$U$57,0,MATCH($C44&amp;" [YR"&amp;$C44&amp;"]",02_RAW_DATA!$E$1:$U$1,0)),"&gt;-1E+300")=0,"",SUMIFS(INDEX(02_RAW_DATA!$E$2:$U$57,0,MATCH($C44&amp;" [YR"&amp;$C44&amp;"]",02_RAW_DATA!$E$1:$U$1,0)),02_RAW_DATA!$B$2:$B$57,$B44,02_RAW_DATA!$D$2:$D$57,01_README!$C$33))</f>
        <v>67.7609732344735</v>
      </c>
      <c r="K44" s="11" t="n">
        <f aca="false">IF(COUNTIFS(02_RAW_DATA!$B$2:$B$57,$B44,02_RAW_DATA!$D$2:$D$57,01_README!$C$34,INDEX(02_RAW_DATA!$E$2:$U$57,0,MATCH($C44&amp;" [YR"&amp;$C44&amp;"]",02_RAW_DATA!$E$1:$U$1,0)),"&gt;-1E+300")=0,"",SUMIFS(INDEX(02_RAW_DATA!$E$2:$U$57,0,MATCH($C44&amp;" [YR"&amp;$C44&amp;"]",02_RAW_DATA!$E$1:$U$1,0)),02_RAW_DATA!$B$2:$B$57,$B44,02_RAW_DATA!$D$2:$D$57,01_README!$C$34))</f>
        <v>61.0194570714913</v>
      </c>
      <c r="L44" s="11" t="n">
        <f aca="false">IF(COUNTIFS(02_RAW_DATA!$B$2:$B$57,$B44,02_RAW_DATA!$D$2:$D$57,01_README!$C$35,INDEX(02_RAW_DATA!$E$2:$U$57,0,MATCH($C44&amp;" [YR"&amp;$C44&amp;"]",02_RAW_DATA!$E$1:$U$1,0)),"&gt;-1E+300")=0,"",SUMIFS(INDEX(02_RAW_DATA!$E$2:$U$57,0,MATCH($C44&amp;" [YR"&amp;$C44&amp;"]",02_RAW_DATA!$E$1:$U$1,0)),02_RAW_DATA!$B$2:$B$57,$B44,02_RAW_DATA!$D$2:$D$57,01_README!$C$35))</f>
        <v>128.780430305965</v>
      </c>
      <c r="M44" s="10" t="n">
        <f aca="false">IF(COUNTIFS(02_RAW_DATA!$B$2:$B$57,$B44,02_RAW_DATA!$D$2:$D$57,01_README!$C$36,INDEX(02_RAW_DATA!$E$2:$U$57,0,MATCH($C44&amp;" [YR"&amp;$C44&amp;"]",02_RAW_DATA!$E$1:$U$1,0)),"&gt;-1E+300")=0,"",SUMIFS(INDEX(02_RAW_DATA!$E$2:$U$57,0,MATCH($C44&amp;" [YR"&amp;$C44&amp;"]",02_RAW_DATA!$E$1:$U$1,0)),02_RAW_DATA!$B$2:$B$57,$B44,02_RAW_DATA!$D$2:$D$57,01_README!$C$36))</f>
        <v>8515481807.56743</v>
      </c>
      <c r="N44" s="11" t="n">
        <f aca="false">IF(COUNTIFS(02_RAW_DATA!$B$2:$B$57,$B44,02_RAW_DATA!$D$2:$D$57,01_README!$C$37,INDEX(02_RAW_DATA!$E$2:$U$57,0,MATCH($C44&amp;" [YR"&amp;$C44&amp;"]",02_RAW_DATA!$E$1:$U$1,0)),"&gt;-1E+300")=0,"",SUMIFS(INDEX(02_RAW_DATA!$E$2:$U$57,0,MATCH($C44&amp;" [YR"&amp;$C44&amp;"]",02_RAW_DATA!$E$1:$U$1,0)),02_RAW_DATA!$B$2:$B$57,$B44,02_RAW_DATA!$D$2:$D$57,01_README!$C$37))</f>
        <v>3.39114066226469</v>
      </c>
      <c r="O44" s="11" t="n">
        <f aca="false">IF(COUNTIFS(02_RAW_DATA!$B$2:$B$57,$B44,02_RAW_DATA!$D$2:$D$57,01_README!$C$38,INDEX(02_RAW_DATA!$E$2:$U$57,0,MATCH($C44&amp;" [YR"&amp;$C44&amp;"]",02_RAW_DATA!$E$1:$U$1,0)),"&gt;-1E+300")=0,"",SUMIFS(INDEX(02_RAW_DATA!$E$2:$U$57,0,MATCH($C44&amp;" [YR"&amp;$C44&amp;"]",02_RAW_DATA!$E$1:$U$1,0)),02_RAW_DATA!$B$2:$B$57,$B44,02_RAW_DATA!$D$2:$D$57,01_README!$C$38))</f>
        <v>20.7968233716829</v>
      </c>
      <c r="P44" s="11" t="n">
        <f aca="false">IF(COUNTIFS(02_RAW_DATA!$B$2:$B$57,$B44,02_RAW_DATA!$D$2:$D$57,01_README!$C$39,INDEX(02_RAW_DATA!$E$2:$U$57,0,MATCH($C44&amp;" [YR"&amp;$C44&amp;"]",02_RAW_DATA!$E$1:$U$1,0)),"&gt;-1E+300")=0,"",SUMIFS(INDEX(02_RAW_DATA!$E$2:$U$57,0,MATCH($C44&amp;" [YR"&amp;$C44&amp;"]",02_RAW_DATA!$E$1:$U$1,0)),02_RAW_DATA!$B$2:$B$57,$B44,02_RAW_DATA!$D$2:$D$57,01_README!$C$39))</f>
        <v>1.7852008079583</v>
      </c>
      <c r="Q44" s="10" t="n">
        <f aca="false">IF(COUNTIFS(02_RAW_DATA!$B$2:$B$57,$B44,02_RAW_DATA!$D$2:$D$57,01_README!$C$40,INDEX(02_RAW_DATA!$E$2:$U$57,0,MATCH($C44&amp;" [YR"&amp;$C44&amp;"]",02_RAW_DATA!$E$1:$U$1,0)),"&gt;-1E+300")=0,"",SUMIFS(INDEX(02_RAW_DATA!$E$2:$U$57,0,MATCH($C44&amp;" [YR"&amp;$C44&amp;"]",02_RAW_DATA!$E$1:$U$1,0)),02_RAW_DATA!$B$2:$B$57,$B44,02_RAW_DATA!$D$2:$D$57,01_README!$C$40))</f>
        <v>191911000000</v>
      </c>
    </row>
    <row r="45" customFormat="false" ht="15" hidden="false" customHeight="false" outlineLevel="0" collapsed="false">
      <c r="A45" s="8" t="s">
        <v>131</v>
      </c>
      <c r="B45" s="8" t="s">
        <v>132</v>
      </c>
      <c r="C45" s="8" t="n">
        <v>2021</v>
      </c>
      <c r="D45" s="10" t="n">
        <f aca="false">IF(COUNTIFS(02_RAW_DATA!$B$2:$B$57,$B45,02_RAW_DATA!$D$2:$D$57,01_README!$C$27,INDEX(02_RAW_DATA!$E$2:$U$57,0,MATCH($C45&amp;" [YR"&amp;$C45&amp;"]",02_RAW_DATA!$E$1:$U$1,0)),"&gt;-1E+300")=0,"",SUMIFS(INDEX(02_RAW_DATA!$E$2:$U$57,0,MATCH($C45&amp;" [YR"&amp;$C45&amp;"]",02_RAW_DATA!$E$1:$U$1,0)),02_RAW_DATA!$B$2:$B$57,$B45,02_RAW_DATA!$D$2:$D$57,01_README!$C$27))</f>
        <v>290972714482.313</v>
      </c>
      <c r="E45" s="11" t="n">
        <f aca="false">IF(COUNTIFS(02_RAW_DATA!$B$2:$B$57,$B45,02_RAW_DATA!$D$2:$D$57,01_README!$C$28,INDEX(02_RAW_DATA!$E$2:$U$57,0,MATCH($C45&amp;" [YR"&amp;$C45&amp;"]",02_RAW_DATA!$E$1:$U$1,0)),"&gt;-1E+300")=0,"",SUMIFS(INDEX(02_RAW_DATA!$E$2:$U$57,0,MATCH($C45&amp;" [YR"&amp;$C45&amp;"]",02_RAW_DATA!$E$1:$U$1,0)),02_RAW_DATA!$B$2:$B$57,$B45,02_RAW_DATA!$D$2:$D$57,01_README!$C$28))</f>
        <v>4.02901832055149</v>
      </c>
      <c r="F45" s="10" t="n">
        <f aca="false">IF(COUNTIFS(02_RAW_DATA!$B$2:$B$57,$B45,02_RAW_DATA!$D$2:$D$57,01_README!$C$29,INDEX(02_RAW_DATA!$E$2:$U$57,0,MATCH($C45&amp;" [YR"&amp;$C45&amp;"]",02_RAW_DATA!$E$1:$U$1,0)),"&gt;-1E+300")=0,"",SUMIFS(INDEX(02_RAW_DATA!$E$2:$U$57,0,MATCH($C45&amp;" [YR"&amp;$C45&amp;"]",02_RAW_DATA!$E$1:$U$1,0)),02_RAW_DATA!$B$2:$B$57,$B45,02_RAW_DATA!$D$2:$D$57,01_README!$C$29))</f>
        <v>27696.4619527544</v>
      </c>
      <c r="G45" s="10" t="n">
        <f aca="false">IF(COUNTIFS(02_RAW_DATA!$B$2:$B$57,$B45,02_RAW_DATA!$D$2:$D$57,01_README!$C$30,INDEX(02_RAW_DATA!$E$2:$U$57,0,MATCH($C45&amp;" [YR"&amp;$C45&amp;"]",02_RAW_DATA!$E$1:$U$1,0)),"&gt;-1E+300")=0,"",SUMIFS(INDEX(02_RAW_DATA!$E$2:$U$57,0,MATCH($C45&amp;" [YR"&amp;$C45&amp;"]",02_RAW_DATA!$E$1:$U$1,0)),02_RAW_DATA!$B$2:$B$57,$B45,02_RAW_DATA!$D$2:$D$57,01_README!$C$30))</f>
        <v>205281381420.63</v>
      </c>
      <c r="H45" s="10" t="n">
        <f aca="false">IF(COUNTIFS(02_RAW_DATA!$B$2:$B$57,$B45,02_RAW_DATA!$D$2:$D$57,01_README!$C$31,INDEX(02_RAW_DATA!$E$2:$U$57,0,MATCH($C45&amp;" [YR"&amp;$C45&amp;"]",02_RAW_DATA!$E$1:$U$1,0)),"&gt;-1E+300")=0,"",SUMIFS(INDEX(02_RAW_DATA!$E$2:$U$57,0,MATCH($C45&amp;" [YR"&amp;$C45&amp;"]",02_RAW_DATA!$E$1:$U$1,0)),02_RAW_DATA!$B$2:$B$57,$B45,02_RAW_DATA!$D$2:$D$57,01_README!$C$31))</f>
        <v>175091590730.81</v>
      </c>
      <c r="I45" s="10" t="n">
        <f aca="false">IF(COUNTIFS(02_RAW_DATA!$B$2:$B$57,$B45,02_RAW_DATA!$D$2:$D$57,01_README!$C$32,INDEX(02_RAW_DATA!$E$2:$U$57,0,MATCH($C45&amp;" [YR"&amp;$C45&amp;"]",02_RAW_DATA!$E$1:$U$1,0)),"&gt;-1E+300")=0,"",SUMIFS(INDEX(02_RAW_DATA!$E$2:$U$57,0,MATCH($C45&amp;" [YR"&amp;$C45&amp;"]",02_RAW_DATA!$E$1:$U$1,0)),02_RAW_DATA!$B$2:$B$57,$B45,02_RAW_DATA!$D$2:$D$57,01_README!$C$32))</f>
        <v>194451452690.495</v>
      </c>
      <c r="J45" s="11" t="n">
        <f aca="false">IF(COUNTIFS(02_RAW_DATA!$B$2:$B$57,$B45,02_RAW_DATA!$D$2:$D$57,01_README!$C$33,INDEX(02_RAW_DATA!$E$2:$U$57,0,MATCH($C45&amp;" [YR"&amp;$C45&amp;"]",02_RAW_DATA!$E$1:$U$1,0)),"&gt;-1E+300")=0,"",SUMIFS(INDEX(02_RAW_DATA!$E$2:$U$57,0,MATCH($C45&amp;" [YR"&amp;$C45&amp;"]",02_RAW_DATA!$E$1:$U$1,0)),02_RAW_DATA!$B$2:$B$57,$B45,02_RAW_DATA!$D$2:$D$57,01_README!$C$33))</f>
        <v>70.550045142844</v>
      </c>
      <c r="K45" s="11" t="n">
        <f aca="false">IF(COUNTIFS(02_RAW_DATA!$B$2:$B$57,$B45,02_RAW_DATA!$D$2:$D$57,01_README!$C$34,INDEX(02_RAW_DATA!$E$2:$U$57,0,MATCH($C45&amp;" [YR"&amp;$C45&amp;"]",02_RAW_DATA!$E$1:$U$1,0)),"&gt;-1E+300")=0,"",SUMIFS(INDEX(02_RAW_DATA!$E$2:$U$57,0,MATCH($C45&amp;" [YR"&amp;$C45&amp;"]",02_RAW_DATA!$E$1:$U$1,0)),02_RAW_DATA!$B$2:$B$57,$B45,02_RAW_DATA!$D$2:$D$57,01_README!$C$34))</f>
        <v>66.8280711600245</v>
      </c>
      <c r="L45" s="11" t="n">
        <f aca="false">IF(COUNTIFS(02_RAW_DATA!$B$2:$B$57,$B45,02_RAW_DATA!$D$2:$D$57,01_README!$C$35,INDEX(02_RAW_DATA!$E$2:$U$57,0,MATCH($C45&amp;" [YR"&amp;$C45&amp;"]",02_RAW_DATA!$E$1:$U$1,0)),"&gt;-1E+300")=0,"",SUMIFS(INDEX(02_RAW_DATA!$E$2:$U$57,0,MATCH($C45&amp;" [YR"&amp;$C45&amp;"]",02_RAW_DATA!$E$1:$U$1,0)),02_RAW_DATA!$B$2:$B$57,$B45,02_RAW_DATA!$D$2:$D$57,01_README!$C$35))</f>
        <v>137.378116302868</v>
      </c>
      <c r="M45" s="10" t="n">
        <f aca="false">IF(COUNTIFS(02_RAW_DATA!$B$2:$B$57,$B45,02_RAW_DATA!$D$2:$D$57,01_README!$C$36,INDEX(02_RAW_DATA!$E$2:$U$57,0,MATCH($C45&amp;" [YR"&amp;$C45&amp;"]",02_RAW_DATA!$E$1:$U$1,0)),"&gt;-1E+300")=0,"",SUMIFS(INDEX(02_RAW_DATA!$E$2:$U$57,0,MATCH($C45&amp;" [YR"&amp;$C45&amp;"]",02_RAW_DATA!$E$1:$U$1,0)),02_RAW_DATA!$B$2:$B$57,$B45,02_RAW_DATA!$D$2:$D$57,01_README!$C$36))</f>
        <v>12890950336.4654</v>
      </c>
      <c r="N45" s="11" t="n">
        <f aca="false">IF(COUNTIFS(02_RAW_DATA!$B$2:$B$57,$B45,02_RAW_DATA!$D$2:$D$57,01_README!$C$37,INDEX(02_RAW_DATA!$E$2:$U$57,0,MATCH($C45&amp;" [YR"&amp;$C45&amp;"]",02_RAW_DATA!$E$1:$U$1,0)),"&gt;-1E+300")=0,"",SUMIFS(INDEX(02_RAW_DATA!$E$2:$U$57,0,MATCH($C45&amp;" [YR"&amp;$C45&amp;"]",02_RAW_DATA!$E$1:$U$1,0)),02_RAW_DATA!$B$2:$B$57,$B45,02_RAW_DATA!$D$2:$D$57,01_README!$C$37))</f>
        <v>4.43029524586196</v>
      </c>
      <c r="O45" s="11" t="n">
        <f aca="false">IF(COUNTIFS(02_RAW_DATA!$B$2:$B$57,$B45,02_RAW_DATA!$D$2:$D$57,01_README!$C$38,INDEX(02_RAW_DATA!$E$2:$U$57,0,MATCH($C45&amp;" [YR"&amp;$C45&amp;"]",02_RAW_DATA!$E$1:$U$1,0)),"&gt;-1E+300")=0,"",SUMIFS(INDEX(02_RAW_DATA!$E$2:$U$57,0,MATCH($C45&amp;" [YR"&amp;$C45&amp;"]",02_RAW_DATA!$E$1:$U$1,0)),02_RAW_DATA!$B$2:$B$57,$B45,02_RAW_DATA!$D$2:$D$57,01_README!$C$38))</f>
        <v>19.640981617073</v>
      </c>
      <c r="P45" s="11" t="n">
        <f aca="false">IF(COUNTIFS(02_RAW_DATA!$B$2:$B$57,$B45,02_RAW_DATA!$D$2:$D$57,01_README!$C$39,INDEX(02_RAW_DATA!$E$2:$U$57,0,MATCH($C45&amp;" [YR"&amp;$C45&amp;"]",02_RAW_DATA!$E$1:$U$1,0)),"&gt;-1E+300")=0,"",SUMIFS(INDEX(02_RAW_DATA!$E$2:$U$57,0,MATCH($C45&amp;" [YR"&amp;$C45&amp;"]",02_RAW_DATA!$E$1:$U$1,0)),02_RAW_DATA!$B$2:$B$57,$B45,02_RAW_DATA!$D$2:$D$57,01_README!$C$39))</f>
        <v>-2.04624111898244</v>
      </c>
      <c r="Q45" s="10" t="n">
        <f aca="false">IF(COUNTIFS(02_RAW_DATA!$B$2:$B$57,$B45,02_RAW_DATA!$D$2:$D$57,01_README!$C$40,INDEX(02_RAW_DATA!$E$2:$U$57,0,MATCH($C45&amp;" [YR"&amp;$C45&amp;"]",02_RAW_DATA!$E$1:$U$1,0)),"&gt;-1E+300")=0,"",SUMIFS(INDEX(02_RAW_DATA!$E$2:$U$57,0,MATCH($C45&amp;" [YR"&amp;$C45&amp;"]",02_RAW_DATA!$E$1:$U$1,0)),02_RAW_DATA!$B$2:$B$57,$B45,02_RAW_DATA!$D$2:$D$57,01_README!$C$40))</f>
        <v>226564000000</v>
      </c>
    </row>
    <row r="46" customFormat="false" ht="15" hidden="false" customHeight="false" outlineLevel="0" collapsed="false">
      <c r="A46" s="8" t="s">
        <v>131</v>
      </c>
      <c r="B46" s="8" t="s">
        <v>132</v>
      </c>
      <c r="C46" s="8" t="n">
        <v>2022</v>
      </c>
      <c r="D46" s="10" t="n">
        <f aca="false">IF(COUNTIFS(02_RAW_DATA!$B$2:$B$57,$B46,02_RAW_DATA!$D$2:$D$57,01_README!$C$27,INDEX(02_RAW_DATA!$E$2:$U$57,0,MATCH($C46&amp;" [YR"&amp;$C46&amp;"]",02_RAW_DATA!$E$1:$U$1,0)),"&gt;-1E+300")=0,"",SUMIFS(INDEX(02_RAW_DATA!$E$2:$U$57,0,MATCH($C46&amp;" [YR"&amp;$C46&amp;"]",02_RAW_DATA!$E$1:$U$1,0)),02_RAW_DATA!$B$2:$B$57,$B46,02_RAW_DATA!$D$2:$D$57,01_README!$C$27))</f>
        <v>301831228325.556</v>
      </c>
      <c r="E46" s="11" t="n">
        <f aca="false">IF(COUNTIFS(02_RAW_DATA!$B$2:$B$57,$B46,02_RAW_DATA!$D$2:$D$57,01_README!$C$28,INDEX(02_RAW_DATA!$E$2:$U$57,0,MATCH($C46&amp;" [YR"&amp;$C46&amp;"]",02_RAW_DATA!$E$1:$U$1,0)),"&gt;-1E+300")=0,"",SUMIFS(INDEX(02_RAW_DATA!$E$2:$U$57,0,MATCH($C46&amp;" [YR"&amp;$C46&amp;"]",02_RAW_DATA!$E$1:$U$1,0)),02_RAW_DATA!$B$2:$B$57,$B46,02_RAW_DATA!$D$2:$D$57,01_README!$C$28))</f>
        <v>2.8471706583814</v>
      </c>
      <c r="F46" s="10" t="n">
        <f aca="false">IF(COUNTIFS(02_RAW_DATA!$B$2:$B$57,$B46,02_RAW_DATA!$D$2:$D$57,01_README!$C$29,INDEX(02_RAW_DATA!$E$2:$U$57,0,MATCH($C46&amp;" [YR"&amp;$C46&amp;"]",02_RAW_DATA!$E$1:$U$1,0)),"&gt;-1E+300")=0,"",SUMIFS(INDEX(02_RAW_DATA!$E$2:$U$57,0,MATCH($C46&amp;" [YR"&amp;$C46&amp;"]",02_RAW_DATA!$E$1:$U$1,0)),02_RAW_DATA!$B$2:$B$57,$B46,02_RAW_DATA!$D$2:$D$57,01_README!$C$29))</f>
        <v>28282.2236715857</v>
      </c>
      <c r="G46" s="10" t="n">
        <f aca="false">IF(COUNTIFS(02_RAW_DATA!$B$2:$B$57,$B46,02_RAW_DATA!$D$2:$D$57,01_README!$C$30,INDEX(02_RAW_DATA!$E$2:$U$57,0,MATCH($C46&amp;" [YR"&amp;$C46&amp;"]",02_RAW_DATA!$E$1:$U$1,0)),"&gt;-1E+300")=0,"",SUMIFS(INDEX(02_RAW_DATA!$E$2:$U$57,0,MATCH($C46&amp;" [YR"&amp;$C46&amp;"]",02_RAW_DATA!$E$1:$U$1,0)),02_RAW_DATA!$B$2:$B$57,$B46,02_RAW_DATA!$D$2:$D$57,01_README!$C$30))</f>
        <v>218554266386.95</v>
      </c>
      <c r="H46" s="10" t="n">
        <f aca="false">IF(COUNTIFS(02_RAW_DATA!$B$2:$B$57,$B46,02_RAW_DATA!$D$2:$D$57,01_README!$C$31,INDEX(02_RAW_DATA!$E$2:$U$57,0,MATCH($C46&amp;" [YR"&amp;$C46&amp;"]",02_RAW_DATA!$E$1:$U$1,0)),"&gt;-1E+300")=0,"",SUMIFS(INDEX(02_RAW_DATA!$E$2:$U$57,0,MATCH($C46&amp;" [YR"&amp;$C46&amp;"]",02_RAW_DATA!$E$1:$U$1,0)),02_RAW_DATA!$B$2:$B$57,$B46,02_RAW_DATA!$D$2:$D$57,01_README!$C$31))</f>
        <v>184107052132.862</v>
      </c>
      <c r="I46" s="10" t="n">
        <f aca="false">IF(COUNTIFS(02_RAW_DATA!$B$2:$B$57,$B46,02_RAW_DATA!$D$2:$D$57,01_README!$C$32,INDEX(02_RAW_DATA!$E$2:$U$57,0,MATCH($C46&amp;" [YR"&amp;$C46&amp;"]",02_RAW_DATA!$E$1:$U$1,0)),"&gt;-1E+300")=0,"",SUMIFS(INDEX(02_RAW_DATA!$E$2:$U$57,0,MATCH($C46&amp;" [YR"&amp;$C46&amp;"]",02_RAW_DATA!$E$1:$U$1,0)),02_RAW_DATA!$B$2:$B$57,$B46,02_RAW_DATA!$D$2:$D$57,01_README!$C$32))</f>
        <v>216117395213.426</v>
      </c>
      <c r="J46" s="11" t="n">
        <f aca="false">IF(COUNTIFS(02_RAW_DATA!$B$2:$B$57,$B46,02_RAW_DATA!$D$2:$D$57,01_README!$C$33,INDEX(02_RAW_DATA!$E$2:$U$57,0,MATCH($C46&amp;" [YR"&amp;$C46&amp;"]",02_RAW_DATA!$E$1:$U$1,0)),"&gt;-1E+300")=0,"",SUMIFS(INDEX(02_RAW_DATA!$E$2:$U$57,0,MATCH($C46&amp;" [YR"&amp;$C46&amp;"]",02_RAW_DATA!$E$1:$U$1,0)),02_RAW_DATA!$B$2:$B$57,$B46,02_RAW_DATA!$D$2:$D$57,01_README!$C$33))</f>
        <v>72.4094281428088</v>
      </c>
      <c r="K46" s="11" t="n">
        <f aca="false">IF(COUNTIFS(02_RAW_DATA!$B$2:$B$57,$B46,02_RAW_DATA!$D$2:$D$57,01_README!$C$34,INDEX(02_RAW_DATA!$E$2:$U$57,0,MATCH($C46&amp;" [YR"&amp;$C46&amp;"]",02_RAW_DATA!$E$1:$U$1,0)),"&gt;-1E+300")=0,"",SUMIFS(INDEX(02_RAW_DATA!$E$2:$U$57,0,MATCH($C46&amp;" [YR"&amp;$C46&amp;"]",02_RAW_DATA!$E$1:$U$1,0)),02_RAW_DATA!$B$2:$B$57,$B46,02_RAW_DATA!$D$2:$D$57,01_README!$C$34))</f>
        <v>71.6020659665878</v>
      </c>
      <c r="L46" s="11" t="n">
        <f aca="false">IF(COUNTIFS(02_RAW_DATA!$B$2:$B$57,$B46,02_RAW_DATA!$D$2:$D$57,01_README!$C$35,INDEX(02_RAW_DATA!$E$2:$U$57,0,MATCH($C46&amp;" [YR"&amp;$C46&amp;"]",02_RAW_DATA!$E$1:$U$1,0)),"&gt;-1E+300")=0,"",SUMIFS(INDEX(02_RAW_DATA!$E$2:$U$57,0,MATCH($C46&amp;" [YR"&amp;$C46&amp;"]",02_RAW_DATA!$E$1:$U$1,0)),02_RAW_DATA!$B$2:$B$57,$B46,02_RAW_DATA!$D$2:$D$57,01_README!$C$35))</f>
        <v>144.011494109397</v>
      </c>
      <c r="M46" s="10" t="n">
        <f aca="false">IF(COUNTIFS(02_RAW_DATA!$B$2:$B$57,$B46,02_RAW_DATA!$D$2:$D$57,01_README!$C$36,INDEX(02_RAW_DATA!$E$2:$U$57,0,MATCH($C46&amp;" [YR"&amp;$C46&amp;"]",02_RAW_DATA!$E$1:$U$1,0)),"&gt;-1E+300")=0,"",SUMIFS(INDEX(02_RAW_DATA!$E$2:$U$57,0,MATCH($C46&amp;" [YR"&amp;$C46&amp;"]",02_RAW_DATA!$E$1:$U$1,0)),02_RAW_DATA!$B$2:$B$57,$B46,02_RAW_DATA!$D$2:$D$57,01_README!$C$36))</f>
        <v>9143600294.9133</v>
      </c>
      <c r="N46" s="11" t="n">
        <f aca="false">IF(COUNTIFS(02_RAW_DATA!$B$2:$B$57,$B46,02_RAW_DATA!$D$2:$D$57,01_README!$C$37,INDEX(02_RAW_DATA!$E$2:$U$57,0,MATCH($C46&amp;" [YR"&amp;$C46&amp;"]",02_RAW_DATA!$E$1:$U$1,0)),"&gt;-1E+300")=0,"",SUMIFS(INDEX(02_RAW_DATA!$E$2:$U$57,0,MATCH($C46&amp;" [YR"&amp;$C46&amp;"]",02_RAW_DATA!$E$1:$U$1,0)),02_RAW_DATA!$B$2:$B$57,$B46,02_RAW_DATA!$D$2:$D$57,01_README!$C$37))</f>
        <v>3.02937517288668</v>
      </c>
      <c r="O46" s="11" t="n">
        <f aca="false">IF(COUNTIFS(02_RAW_DATA!$B$2:$B$57,$B46,02_RAW_DATA!$D$2:$D$57,01_README!$C$38,INDEX(02_RAW_DATA!$E$2:$U$57,0,MATCH($C46&amp;" [YR"&amp;$C46&amp;"]",02_RAW_DATA!$E$1:$U$1,0)),"&gt;-1E+300")=0,"",SUMIFS(INDEX(02_RAW_DATA!$E$2:$U$57,0,MATCH($C46&amp;" [YR"&amp;$C46&amp;"]",02_RAW_DATA!$E$1:$U$1,0)),02_RAW_DATA!$B$2:$B$57,$B46,02_RAW_DATA!$D$2:$D$57,01_README!$C$38))</f>
        <v>19.3950613571424</v>
      </c>
      <c r="P46" s="11" t="n">
        <f aca="false">IF(COUNTIFS(02_RAW_DATA!$B$2:$B$57,$B46,02_RAW_DATA!$D$2:$D$57,01_README!$C$39,INDEX(02_RAW_DATA!$E$2:$U$57,0,MATCH($C46&amp;" [YR"&amp;$C46&amp;"]",02_RAW_DATA!$E$1:$U$1,0)),"&gt;-1E+300")=0,"",SUMIFS(INDEX(02_RAW_DATA!$E$2:$U$57,0,MATCH($C46&amp;" [YR"&amp;$C46&amp;"]",02_RAW_DATA!$E$1:$U$1,0)),02_RAW_DATA!$B$2:$B$57,$B46,02_RAW_DATA!$D$2:$D$57,01_README!$C$39))</f>
        <v>-4.52048439437013</v>
      </c>
      <c r="Q46" s="10" t="n">
        <f aca="false">IF(COUNTIFS(02_RAW_DATA!$B$2:$B$57,$B46,02_RAW_DATA!$D$2:$D$57,01_README!$C$40,INDEX(02_RAW_DATA!$E$2:$U$57,0,MATCH($C46&amp;" [YR"&amp;$C46&amp;"]",02_RAW_DATA!$E$1:$U$1,0)),"&gt;-1E+300")=0,"",SUMIFS(INDEX(02_RAW_DATA!$E$2:$U$57,0,MATCH($C46&amp;" [YR"&amp;$C46&amp;"]",02_RAW_DATA!$E$1:$U$1,0)),02_RAW_DATA!$B$2:$B$57,$B46,02_RAW_DATA!$D$2:$D$57,01_README!$C$40))</f>
        <v>242015000000</v>
      </c>
    </row>
    <row r="47" customFormat="false" ht="15" hidden="false" customHeight="false" outlineLevel="0" collapsed="false">
      <c r="A47" s="8" t="s">
        <v>131</v>
      </c>
      <c r="B47" s="8" t="s">
        <v>132</v>
      </c>
      <c r="C47" s="8" t="n">
        <v>2023</v>
      </c>
      <c r="D47" s="10" t="n">
        <f aca="false">IF(COUNTIFS(02_RAW_DATA!$B$2:$B$57,$B47,02_RAW_DATA!$D$2:$D$57,01_README!$C$27,INDEX(02_RAW_DATA!$E$2:$U$57,0,MATCH($C47&amp;" [YR"&amp;$C47&amp;"]",02_RAW_DATA!$E$1:$U$1,0)),"&gt;-1E+300")=0,"",SUMIFS(INDEX(02_RAW_DATA!$E$2:$U$57,0,MATCH($C47&amp;" [YR"&amp;$C47&amp;"]",02_RAW_DATA!$E$1:$U$1,0)),02_RAW_DATA!$B$2:$B$57,$B47,02_RAW_DATA!$D$2:$D$57,01_README!$C$27))</f>
        <v>345059295659.911</v>
      </c>
      <c r="E47" s="11" t="n">
        <f aca="false">IF(COUNTIFS(02_RAW_DATA!$B$2:$B$57,$B47,02_RAW_DATA!$D$2:$D$57,01_README!$C$28,INDEX(02_RAW_DATA!$E$2:$U$57,0,MATCH($C47&amp;" [YR"&amp;$C47&amp;"]",02_RAW_DATA!$E$1:$U$1,0)),"&gt;-1E+300")=0,"",SUMIFS(INDEX(02_RAW_DATA!$E$2:$U$57,0,MATCH($C47&amp;" [YR"&amp;$C47&amp;"]",02_RAW_DATA!$E$1:$U$1,0)),02_RAW_DATA!$B$2:$B$57,$B47,02_RAW_DATA!$D$2:$D$57,01_README!$C$28))</f>
        <v>0.0475803308973752</v>
      </c>
      <c r="F47" s="10" t="n">
        <f aca="false">IF(COUNTIFS(02_RAW_DATA!$B$2:$B$57,$B47,02_RAW_DATA!$D$2:$D$57,01_README!$C$29,INDEX(02_RAW_DATA!$E$2:$U$57,0,MATCH($C47&amp;" [YR"&amp;$C47&amp;"]",02_RAW_DATA!$E$1:$U$1,0)),"&gt;-1E+300")=0,"",SUMIFS(INDEX(02_RAW_DATA!$E$2:$U$57,0,MATCH($C47&amp;" [YR"&amp;$C47&amp;"]",02_RAW_DATA!$E$1:$U$1,0)),02_RAW_DATA!$B$2:$B$57,$B47,02_RAW_DATA!$D$2:$D$57,01_README!$C$29))</f>
        <v>31761.5944102491</v>
      </c>
      <c r="G47" s="10" t="n">
        <f aca="false">IF(COUNTIFS(02_RAW_DATA!$B$2:$B$57,$B47,02_RAW_DATA!$D$2:$D$57,01_README!$C$30,INDEX(02_RAW_DATA!$E$2:$U$57,0,MATCH($C47&amp;" [YR"&amp;$C47&amp;"]",02_RAW_DATA!$E$1:$U$1,0)),"&gt;-1E+300")=0,"",SUMIFS(INDEX(02_RAW_DATA!$E$2:$U$57,0,MATCH($C47&amp;" [YR"&amp;$C47&amp;"]",02_RAW_DATA!$E$1:$U$1,0)),02_RAW_DATA!$B$2:$B$57,$B47,02_RAW_DATA!$D$2:$D$57,01_README!$C$30))</f>
        <v>236031278976.789</v>
      </c>
      <c r="H47" s="10" t="n">
        <f aca="false">IF(COUNTIFS(02_RAW_DATA!$B$2:$B$57,$B47,02_RAW_DATA!$D$2:$D$57,01_README!$C$31,INDEX(02_RAW_DATA!$E$2:$U$57,0,MATCH($C47&amp;" [YR"&amp;$C47&amp;"]",02_RAW_DATA!$E$1:$U$1,0)),"&gt;-1E+300")=0,"",SUMIFS(INDEX(02_RAW_DATA!$E$2:$U$57,0,MATCH($C47&amp;" [YR"&amp;$C47&amp;"]",02_RAW_DATA!$E$1:$U$1,0)),02_RAW_DATA!$B$2:$B$57,$B47,02_RAW_DATA!$D$2:$D$57,01_README!$C$31))</f>
        <v>188429825066.207</v>
      </c>
      <c r="I47" s="10" t="n">
        <f aca="false">IF(COUNTIFS(02_RAW_DATA!$B$2:$B$57,$B47,02_RAW_DATA!$D$2:$D$57,01_README!$C$32,INDEX(02_RAW_DATA!$E$2:$U$57,0,MATCH($C47&amp;" [YR"&amp;$C47&amp;"]",02_RAW_DATA!$E$1:$U$1,0)),"&gt;-1E+300")=0,"",SUMIFS(INDEX(02_RAW_DATA!$E$2:$U$57,0,MATCH($C47&amp;" [YR"&amp;$C47&amp;"]",02_RAW_DATA!$E$1:$U$1,0)),02_RAW_DATA!$B$2:$B$57,$B47,02_RAW_DATA!$D$2:$D$57,01_README!$C$32))</f>
        <v>219076391730.518</v>
      </c>
      <c r="J47" s="11" t="n">
        <f aca="false">IF(COUNTIFS(02_RAW_DATA!$B$2:$B$57,$B47,02_RAW_DATA!$D$2:$D$57,01_README!$C$33,INDEX(02_RAW_DATA!$E$2:$U$57,0,MATCH($C47&amp;" [YR"&amp;$C47&amp;"]",02_RAW_DATA!$E$1:$U$1,0)),"&gt;-1E+300")=0,"",SUMIFS(INDEX(02_RAW_DATA!$E$2:$U$57,0,MATCH($C47&amp;" [YR"&amp;$C47&amp;"]",02_RAW_DATA!$E$1:$U$1,0)),02_RAW_DATA!$B$2:$B$57,$B47,02_RAW_DATA!$D$2:$D$57,01_README!$C$33))</f>
        <v>68.4031069284452</v>
      </c>
      <c r="K47" s="11" t="n">
        <f aca="false">IF(COUNTIFS(02_RAW_DATA!$B$2:$B$57,$B47,02_RAW_DATA!$D$2:$D$57,01_README!$C$34,INDEX(02_RAW_DATA!$E$2:$U$57,0,MATCH($C47&amp;" [YR"&amp;$C47&amp;"]",02_RAW_DATA!$E$1:$U$1,0)),"&gt;-1E+300")=0,"",SUMIFS(INDEX(02_RAW_DATA!$E$2:$U$57,0,MATCH($C47&amp;" [YR"&amp;$C47&amp;"]",02_RAW_DATA!$E$1:$U$1,0)),02_RAW_DATA!$B$2:$B$57,$B47,02_RAW_DATA!$D$2:$D$57,01_README!$C$34))</f>
        <v>63.489491367431</v>
      </c>
      <c r="L47" s="11" t="n">
        <f aca="false">IF(COUNTIFS(02_RAW_DATA!$B$2:$B$57,$B47,02_RAW_DATA!$D$2:$D$57,01_README!$C$35,INDEX(02_RAW_DATA!$E$2:$U$57,0,MATCH($C47&amp;" [YR"&amp;$C47&amp;"]",02_RAW_DATA!$E$1:$U$1,0)),"&gt;-1E+300")=0,"",SUMIFS(INDEX(02_RAW_DATA!$E$2:$U$57,0,MATCH($C47&amp;" [YR"&amp;$C47&amp;"]",02_RAW_DATA!$E$1:$U$1,0)),02_RAW_DATA!$B$2:$B$57,$B47,02_RAW_DATA!$D$2:$D$57,01_README!$C$35))</f>
        <v>131.892598295876</v>
      </c>
      <c r="M47" s="10" t="n">
        <f aca="false">IF(COUNTIFS(02_RAW_DATA!$B$2:$B$57,$B47,02_RAW_DATA!$D$2:$D$57,01_README!$C$36,INDEX(02_RAW_DATA!$E$2:$U$57,0,MATCH($C47&amp;" [YR"&amp;$C47&amp;"]",02_RAW_DATA!$E$1:$U$1,0)),"&gt;-1E+300")=0,"",SUMIFS(INDEX(02_RAW_DATA!$E$2:$U$57,0,MATCH($C47&amp;" [YR"&amp;$C47&amp;"]",02_RAW_DATA!$E$1:$U$1,0)),02_RAW_DATA!$B$2:$B$57,$B47,02_RAW_DATA!$D$2:$D$57,01_README!$C$36))</f>
        <v>11891578042.9175</v>
      </c>
      <c r="N47" s="11" t="n">
        <f aca="false">IF(COUNTIFS(02_RAW_DATA!$B$2:$B$57,$B47,02_RAW_DATA!$D$2:$D$57,01_README!$C$37,INDEX(02_RAW_DATA!$E$2:$U$57,0,MATCH($C47&amp;" [YR"&amp;$C47&amp;"]",02_RAW_DATA!$E$1:$U$1,0)),"&gt;-1E+300")=0,"",SUMIFS(INDEX(02_RAW_DATA!$E$2:$U$57,0,MATCH($C47&amp;" [YR"&amp;$C47&amp;"]",02_RAW_DATA!$E$1:$U$1,0)),02_RAW_DATA!$B$2:$B$57,$B47,02_RAW_DATA!$D$2:$D$57,01_README!$C$37))</f>
        <v>3.4462419046487</v>
      </c>
      <c r="O47" s="11" t="n">
        <f aca="false">IF(COUNTIFS(02_RAW_DATA!$B$2:$B$57,$B47,02_RAW_DATA!$D$2:$D$57,01_README!$C$38,INDEX(02_RAW_DATA!$E$2:$U$57,0,MATCH($C47&amp;" [YR"&amp;$C47&amp;"]",02_RAW_DATA!$E$1:$U$1,0)),"&gt;-1E+300")=0,"",SUMIFS(INDEX(02_RAW_DATA!$E$2:$U$57,0,MATCH($C47&amp;" [YR"&amp;$C47&amp;"]",02_RAW_DATA!$E$1:$U$1,0)),02_RAW_DATA!$B$2:$B$57,$B47,02_RAW_DATA!$D$2:$D$57,01_README!$C$38))</f>
        <v>20.4330612801752</v>
      </c>
      <c r="P47" s="11" t="n">
        <f aca="false">IF(COUNTIFS(02_RAW_DATA!$B$2:$B$57,$B47,02_RAW_DATA!$D$2:$D$57,01_README!$C$39,INDEX(02_RAW_DATA!$E$2:$U$57,0,MATCH($C47&amp;" [YR"&amp;$C47&amp;"]",02_RAW_DATA!$E$1:$U$1,0)),"&gt;-1E+300")=0,"",SUMIFS(INDEX(02_RAW_DATA!$E$2:$U$57,0,MATCH($C47&amp;" [YR"&amp;$C47&amp;"]",02_RAW_DATA!$E$1:$U$1,0)),02_RAW_DATA!$B$2:$B$57,$B47,02_RAW_DATA!$D$2:$D$57,01_README!$C$39))</f>
        <v>-0.125406557037842</v>
      </c>
      <c r="Q47" s="10" t="n">
        <f aca="false">IF(COUNTIFS(02_RAW_DATA!$B$2:$B$57,$B47,02_RAW_DATA!$D$2:$D$57,01_README!$C$40,INDEX(02_RAW_DATA!$E$2:$U$57,0,MATCH($C47&amp;" [YR"&amp;$C47&amp;"]",02_RAW_DATA!$E$1:$U$1,0)),"&gt;-1E+300")=0,"",SUMIFS(INDEX(02_RAW_DATA!$E$2:$U$57,0,MATCH($C47&amp;" [YR"&amp;$C47&amp;"]",02_RAW_DATA!$E$1:$U$1,0)),02_RAW_DATA!$B$2:$B$57,$B47,02_RAW_DATA!$D$2:$D$57,01_README!$C$40))</f>
        <v>255549000000</v>
      </c>
    </row>
    <row r="48" customFormat="false" ht="15" hidden="false" customHeight="false" outlineLevel="0" collapsed="false">
      <c r="A48" s="8" t="s">
        <v>131</v>
      </c>
      <c r="B48" s="8" t="s">
        <v>132</v>
      </c>
      <c r="C48" s="8" t="n">
        <v>2024</v>
      </c>
      <c r="D48" s="10" t="n">
        <f aca="false">IF(COUNTIFS(02_RAW_DATA!$B$2:$B$57,$B48,02_RAW_DATA!$D$2:$D$57,01_README!$C$27,INDEX(02_RAW_DATA!$E$2:$U$57,0,MATCH($C48&amp;" [YR"&amp;$C48&amp;"]",02_RAW_DATA!$E$1:$U$1,0)),"&gt;-1E+300")=0,"",SUMIFS(INDEX(02_RAW_DATA!$E$2:$U$57,0,MATCH($C48&amp;" [YR"&amp;$C48&amp;"]",02_RAW_DATA!$E$1:$U$1,0)),02_RAW_DATA!$B$2:$B$57,$B48,02_RAW_DATA!$D$2:$D$57,01_README!$C$27))</f>
        <v>347082562221.377</v>
      </c>
      <c r="E48" s="11" t="n">
        <f aca="false">IF(COUNTIFS(02_RAW_DATA!$B$2:$B$57,$B48,02_RAW_DATA!$D$2:$D$57,01_README!$C$28,INDEX(02_RAW_DATA!$E$2:$U$57,0,MATCH($C48&amp;" [YR"&amp;$C48&amp;"]",02_RAW_DATA!$E$1:$U$1,0)),"&gt;-1E+300")=0,"",SUMIFS(INDEX(02_RAW_DATA!$E$2:$U$57,0,MATCH($C48&amp;" [YR"&amp;$C48&amp;"]",02_RAW_DATA!$E$1:$U$1,0)),02_RAW_DATA!$B$2:$B$57,$B48,02_RAW_DATA!$D$2:$D$57,01_README!$C$28))</f>
        <v>1.25131096245923</v>
      </c>
      <c r="F48" s="10" t="n">
        <f aca="false">IF(COUNTIFS(02_RAW_DATA!$B$2:$B$57,$B48,02_RAW_DATA!$D$2:$D$57,01_README!$C$29,INDEX(02_RAW_DATA!$E$2:$U$57,0,MATCH($C48&amp;" [YR"&amp;$C48&amp;"]",02_RAW_DATA!$E$1:$U$1,0)),"&gt;-1E+300")=0,"",SUMIFS(INDEX(02_RAW_DATA!$E$2:$U$57,0,MATCH($C48&amp;" [YR"&amp;$C48&amp;"]",02_RAW_DATA!$E$1:$U$1,0)),02_RAW_DATA!$B$2:$B$57,$B48,02_RAW_DATA!$D$2:$D$57,01_README!$C$29))</f>
        <v>31827.7552539413</v>
      </c>
      <c r="G48" s="10" t="n">
        <f aca="false">IF(COUNTIFS(02_RAW_DATA!$B$2:$B$57,$B48,02_RAW_DATA!$D$2:$D$57,01_README!$C$30,INDEX(02_RAW_DATA!$E$2:$U$57,0,MATCH($C48&amp;" [YR"&amp;$C48&amp;"]",02_RAW_DATA!$E$1:$U$1,0)),"&gt;-1E+300")=0,"",SUMIFS(INDEX(02_RAW_DATA!$E$2:$U$57,0,MATCH($C48&amp;" [YR"&amp;$C48&amp;"]",02_RAW_DATA!$E$1:$U$1,0)),02_RAW_DATA!$B$2:$B$57,$B48,02_RAW_DATA!$D$2:$D$57,01_README!$C$30))</f>
        <v>238995944034.86</v>
      </c>
      <c r="H48" s="10" t="n">
        <f aca="false">IF(COUNTIFS(02_RAW_DATA!$B$2:$B$57,$B48,02_RAW_DATA!$D$2:$D$57,01_README!$C$31,INDEX(02_RAW_DATA!$E$2:$U$57,0,MATCH($C48&amp;" [YR"&amp;$C48&amp;"]",02_RAW_DATA!$E$1:$U$1,0)),"&gt;-1E+300")=0,"",SUMIFS(INDEX(02_RAW_DATA!$E$2:$U$57,0,MATCH($C48&amp;" [YR"&amp;$C48&amp;"]",02_RAW_DATA!$E$1:$U$1,0)),02_RAW_DATA!$B$2:$B$57,$B48,02_RAW_DATA!$D$2:$D$57,01_README!$C$31))</f>
        <v>191303926122.37</v>
      </c>
      <c r="I48" s="10" t="n">
        <f aca="false">IF(COUNTIFS(02_RAW_DATA!$B$2:$B$57,$B48,02_RAW_DATA!$D$2:$D$57,01_README!$C$32,INDEX(02_RAW_DATA!$E$2:$U$57,0,MATCH($C48&amp;" [YR"&amp;$C48&amp;"]",02_RAW_DATA!$E$1:$U$1,0)),"&gt;-1E+300")=0,"",SUMIFS(INDEX(02_RAW_DATA!$E$2:$U$57,0,MATCH($C48&amp;" [YR"&amp;$C48&amp;"]",02_RAW_DATA!$E$1:$U$1,0)),02_RAW_DATA!$B$2:$B$57,$B48,02_RAW_DATA!$D$2:$D$57,01_README!$C$32))</f>
        <v>217301727912.937</v>
      </c>
      <c r="J48" s="11" t="n">
        <f aca="false">IF(COUNTIFS(02_RAW_DATA!$B$2:$B$57,$B48,02_RAW_DATA!$D$2:$D$57,01_README!$C$33,INDEX(02_RAW_DATA!$E$2:$U$57,0,MATCH($C48&amp;" [YR"&amp;$C48&amp;"]",02_RAW_DATA!$E$1:$U$1,0)),"&gt;-1E+300")=0,"",SUMIFS(INDEX(02_RAW_DATA!$E$2:$U$57,0,MATCH($C48&amp;" [YR"&amp;$C48&amp;"]",02_RAW_DATA!$E$1:$U$1,0)),02_RAW_DATA!$B$2:$B$57,$B48,02_RAW_DATA!$D$2:$D$57,01_README!$C$33))</f>
        <v>68.8585282145125</v>
      </c>
      <c r="K48" s="11" t="n">
        <f aca="false">IF(COUNTIFS(02_RAW_DATA!$B$2:$B$57,$B48,02_RAW_DATA!$D$2:$D$57,01_README!$C$34,INDEX(02_RAW_DATA!$E$2:$U$57,0,MATCH($C48&amp;" [YR"&amp;$C48&amp;"]",02_RAW_DATA!$E$1:$U$1,0)),"&gt;-1E+300")=0,"",SUMIFS(INDEX(02_RAW_DATA!$E$2:$U$57,0,MATCH($C48&amp;" [YR"&amp;$C48&amp;"]",02_RAW_DATA!$E$1:$U$1,0)),02_RAW_DATA!$B$2:$B$57,$B48,02_RAW_DATA!$D$2:$D$57,01_README!$C$34))</f>
        <v>62.6080799110665</v>
      </c>
      <c r="L48" s="11" t="n">
        <f aca="false">IF(COUNTIFS(02_RAW_DATA!$B$2:$B$57,$B48,02_RAW_DATA!$D$2:$D$57,01_README!$C$35,INDEX(02_RAW_DATA!$E$2:$U$57,0,MATCH($C48&amp;" [YR"&amp;$C48&amp;"]",02_RAW_DATA!$E$1:$U$1,0)),"&gt;-1E+300")=0,"",SUMIFS(INDEX(02_RAW_DATA!$E$2:$U$57,0,MATCH($C48&amp;" [YR"&amp;$C48&amp;"]",02_RAW_DATA!$E$1:$U$1,0)),02_RAW_DATA!$B$2:$B$57,$B48,02_RAW_DATA!$D$2:$D$57,01_README!$C$35))</f>
        <v>131.466608125579</v>
      </c>
      <c r="M48" s="10" t="n">
        <f aca="false">IF(COUNTIFS(02_RAW_DATA!$B$2:$B$57,$B48,02_RAW_DATA!$D$2:$D$57,01_README!$C$36,INDEX(02_RAW_DATA!$E$2:$U$57,0,MATCH($C48&amp;" [YR"&amp;$C48&amp;"]",02_RAW_DATA!$E$1:$U$1,0)),"&gt;-1E+300")=0,"",SUMIFS(INDEX(02_RAW_DATA!$E$2:$U$57,0,MATCH($C48&amp;" [YR"&amp;$C48&amp;"]",02_RAW_DATA!$E$1:$U$1,0)),02_RAW_DATA!$B$2:$B$57,$B48,02_RAW_DATA!$D$2:$D$57,01_README!$C$36))</f>
        <v>13513304248.2648</v>
      </c>
      <c r="N48" s="11" t="n">
        <f aca="false">IF(COUNTIFS(02_RAW_DATA!$B$2:$B$57,$B48,02_RAW_DATA!$D$2:$D$57,01_README!$C$37,INDEX(02_RAW_DATA!$E$2:$U$57,0,MATCH($C48&amp;" [YR"&amp;$C48&amp;"]",02_RAW_DATA!$E$1:$U$1,0)),"&gt;-1E+300")=0,"",SUMIFS(INDEX(02_RAW_DATA!$E$2:$U$57,0,MATCH($C48&amp;" [YR"&amp;$C48&amp;"]",02_RAW_DATA!$E$1:$U$1,0)),02_RAW_DATA!$B$2:$B$57,$B48,02_RAW_DATA!$D$2:$D$57,01_README!$C$37))</f>
        <v>3.8933976290188</v>
      </c>
      <c r="O48" s="11" t="n">
        <f aca="false">IF(COUNTIFS(02_RAW_DATA!$B$2:$B$57,$B48,02_RAW_DATA!$D$2:$D$57,01_README!$C$38,INDEX(02_RAW_DATA!$E$2:$U$57,0,MATCH($C48&amp;" [YR"&amp;$C48&amp;"]",02_RAW_DATA!$E$1:$U$1,0)),"&gt;-1E+300")=0,"",SUMIFS(INDEX(02_RAW_DATA!$E$2:$U$57,0,MATCH($C48&amp;" [YR"&amp;$C48&amp;"]",02_RAW_DATA!$E$1:$U$1,0)),02_RAW_DATA!$B$2:$B$57,$B48,02_RAW_DATA!$D$2:$D$57,01_README!$C$38))</f>
        <v>19.8828069640729</v>
      </c>
      <c r="P48" s="11" t="n">
        <f aca="false">IF(COUNTIFS(02_RAW_DATA!$B$2:$B$57,$B48,02_RAW_DATA!$D$2:$D$57,01_README!$C$39,INDEX(02_RAW_DATA!$E$2:$U$57,0,MATCH($C48&amp;" [YR"&amp;$C48&amp;"]",02_RAW_DATA!$E$1:$U$1,0)),"&gt;-1E+300")=0,"",SUMIFS(INDEX(02_RAW_DATA!$E$2:$U$57,0,MATCH($C48&amp;" [YR"&amp;$C48&amp;"]",02_RAW_DATA!$E$1:$U$1,0)),02_RAW_DATA!$B$2:$B$57,$B48,02_RAW_DATA!$D$2:$D$57,01_README!$C$39))</f>
        <v>1.69610102238122</v>
      </c>
      <c r="Q48" s="10" t="n">
        <f aca="false">IF(COUNTIFS(02_RAW_DATA!$B$2:$B$57,$B48,02_RAW_DATA!$D$2:$D$57,01_README!$C$40,INDEX(02_RAW_DATA!$E$2:$U$57,0,MATCH($C48&amp;" [YR"&amp;$C48&amp;"]",02_RAW_DATA!$E$1:$U$1,0)),"&gt;-1E+300")=0,"",SUMIFS(INDEX(02_RAW_DATA!$E$2:$U$57,0,MATCH($C48&amp;" [YR"&amp;$C48&amp;"]",02_RAW_DATA!$E$1:$U$1,0)),02_RAW_DATA!$B$2:$B$57,$B48,02_RAW_DATA!$D$2:$D$57,01_README!$C$40))</f>
        <v>263126000000</v>
      </c>
    </row>
    <row r="49" customFormat="false" ht="15" hidden="false" customHeight="false" outlineLevel="0" collapsed="false">
      <c r="A49" s="8" t="s">
        <v>131</v>
      </c>
      <c r="B49" s="8" t="s">
        <v>132</v>
      </c>
      <c r="C49" s="8" t="n">
        <v>2025</v>
      </c>
      <c r="D49" s="10" t="n">
        <f aca="false">IF(COUNTIFS(02_RAW_DATA!$B$2:$B$57,$B49,02_RAW_DATA!$D$2:$D$57,01_README!$C$27,INDEX(02_RAW_DATA!$E$2:$U$57,0,MATCH($C49&amp;" [YR"&amp;$C49&amp;"]",02_RAW_DATA!$E$1:$U$1,0)),"&gt;-1E+300")=0,"",SUMIFS(INDEX(02_RAW_DATA!$E$2:$U$57,0,MATCH($C49&amp;" [YR"&amp;$C49&amp;"]",02_RAW_DATA!$E$1:$U$1,0)),02_RAW_DATA!$B$2:$B$57,$B49,02_RAW_DATA!$D$2:$D$57,01_README!$C$27))</f>
        <v>391026962800.475</v>
      </c>
      <c r="E49" s="11" t="n">
        <f aca="false">IF(COUNTIFS(02_RAW_DATA!$B$2:$B$57,$B49,02_RAW_DATA!$D$2:$D$57,01_README!$C$28,INDEX(02_RAW_DATA!$E$2:$U$57,0,MATCH($C49&amp;" [YR"&amp;$C49&amp;"]",02_RAW_DATA!$E$1:$U$1,0)),"&gt;-1E+300")=0,"",SUMIFS(INDEX(02_RAW_DATA!$E$2:$U$57,0,MATCH($C49&amp;" [YR"&amp;$C49&amp;"]",02_RAW_DATA!$E$1:$U$1,0)),02_RAW_DATA!$B$2:$B$57,$B49,02_RAW_DATA!$D$2:$D$57,01_README!$C$28))</f>
        <v>2.58046673293437</v>
      </c>
      <c r="F49" s="10" t="n">
        <f aca="false">IF(COUNTIFS(02_RAW_DATA!$B$2:$B$57,$B49,02_RAW_DATA!$D$2:$D$57,01_README!$C$29,INDEX(02_RAW_DATA!$E$2:$U$57,0,MATCH($C49&amp;" [YR"&amp;$C49&amp;"]",02_RAW_DATA!$E$1:$U$1,0)),"&gt;-1E+300")=0,"",SUMIFS(INDEX(02_RAW_DATA!$E$2:$U$57,0,MATCH($C49&amp;" [YR"&amp;$C49&amp;"]",02_RAW_DATA!$E$1:$U$1,0)),02_RAW_DATA!$B$2:$B$57,$B49,02_RAW_DATA!$D$2:$D$57,01_README!$C$29))</f>
        <v>35917.2724081665</v>
      </c>
      <c r="G49" s="10" t="n">
        <f aca="false">IF(COUNTIFS(02_RAW_DATA!$B$2:$B$57,$B49,02_RAW_DATA!$D$2:$D$57,01_README!$C$30,INDEX(02_RAW_DATA!$E$2:$U$57,0,MATCH($C49&amp;" [YR"&amp;$C49&amp;"]",02_RAW_DATA!$E$1:$U$1,0)),"&gt;-1E+300")=0,"",SUMIFS(INDEX(02_RAW_DATA!$E$2:$U$57,0,MATCH($C49&amp;" [YR"&amp;$C49&amp;"]",02_RAW_DATA!$E$1:$U$1,0)),02_RAW_DATA!$B$2:$B$57,$B49,02_RAW_DATA!$D$2:$D$57,01_README!$C$30))</f>
        <v>261773375377.022</v>
      </c>
      <c r="H49" s="10" t="n">
        <f aca="false">IF(COUNTIFS(02_RAW_DATA!$B$2:$B$57,$B49,02_RAW_DATA!$D$2:$D$57,01_README!$C$31,INDEX(02_RAW_DATA!$E$2:$U$57,0,MATCH($C49&amp;" [YR"&amp;$C49&amp;"]",02_RAW_DATA!$E$1:$U$1,0)),"&gt;-1E+300")=0,"",SUMIFS(INDEX(02_RAW_DATA!$E$2:$U$57,0,MATCH($C49&amp;" [YR"&amp;$C49&amp;"]",02_RAW_DATA!$E$1:$U$1,0)),02_RAW_DATA!$B$2:$B$57,$B49,02_RAW_DATA!$D$2:$D$57,01_README!$C$31))</f>
        <v>198768931485.638</v>
      </c>
      <c r="I49" s="10" t="n">
        <f aca="false">IF(COUNTIFS(02_RAW_DATA!$B$2:$B$57,$B49,02_RAW_DATA!$D$2:$D$57,01_README!$C$32,INDEX(02_RAW_DATA!$E$2:$U$57,0,MATCH($C49&amp;" [YR"&amp;$C49&amp;"]",02_RAW_DATA!$E$1:$U$1,0)),"&gt;-1E+300")=0,"",SUMIFS(INDEX(02_RAW_DATA!$E$2:$U$57,0,MATCH($C49&amp;" [YR"&amp;$C49&amp;"]",02_RAW_DATA!$E$1:$U$1,0)),02_RAW_DATA!$B$2:$B$57,$B49,02_RAW_DATA!$D$2:$D$57,01_README!$C$32))</f>
        <v>238895347774.426</v>
      </c>
      <c r="J49" s="11" t="n">
        <f aca="false">IF(COUNTIFS(02_RAW_DATA!$B$2:$B$57,$B49,02_RAW_DATA!$D$2:$D$57,01_README!$C$33,INDEX(02_RAW_DATA!$E$2:$U$57,0,MATCH($C49&amp;" [YR"&amp;$C49&amp;"]",02_RAW_DATA!$E$1:$U$1,0)),"&gt;-1E+300")=0,"",SUMIFS(INDEX(02_RAW_DATA!$E$2:$U$57,0,MATCH($C49&amp;" [YR"&amp;$C49&amp;"]",02_RAW_DATA!$E$1:$U$1,0)),02_RAW_DATA!$B$2:$B$57,$B49,02_RAW_DATA!$D$2:$D$57,01_README!$C$33))</f>
        <v>66.9450959346234</v>
      </c>
      <c r="K49" s="11" t="n">
        <f aca="false">IF(COUNTIFS(02_RAW_DATA!$B$2:$B$57,$B49,02_RAW_DATA!$D$2:$D$57,01_README!$C$34,INDEX(02_RAW_DATA!$E$2:$U$57,0,MATCH($C49&amp;" [YR"&amp;$C49&amp;"]",02_RAW_DATA!$E$1:$U$1,0)),"&gt;-1E+300")=0,"",SUMIFS(INDEX(02_RAW_DATA!$E$2:$U$57,0,MATCH($C49&amp;" [YR"&amp;$C49&amp;"]",02_RAW_DATA!$E$1:$U$1,0)),02_RAW_DATA!$B$2:$B$57,$B49,02_RAW_DATA!$D$2:$D$57,01_README!$C$34))</f>
        <v>61.0943414396528</v>
      </c>
      <c r="L49" s="11" t="n">
        <f aca="false">IF(COUNTIFS(02_RAW_DATA!$B$2:$B$57,$B49,02_RAW_DATA!$D$2:$D$57,01_README!$C$35,INDEX(02_RAW_DATA!$E$2:$U$57,0,MATCH($C49&amp;" [YR"&amp;$C49&amp;"]",02_RAW_DATA!$E$1:$U$1,0)),"&gt;-1E+300")=0,"",SUMIFS(INDEX(02_RAW_DATA!$E$2:$U$57,0,MATCH($C49&amp;" [YR"&amp;$C49&amp;"]",02_RAW_DATA!$E$1:$U$1,0)),02_RAW_DATA!$B$2:$B$57,$B49,02_RAW_DATA!$D$2:$D$57,01_README!$C$35))</f>
        <v>128.039437374276</v>
      </c>
      <c r="M49" s="10" t="n">
        <f aca="false">IF(COUNTIFS(02_RAW_DATA!$B$2:$B$57,$B49,02_RAW_DATA!$D$2:$D$57,01_README!$C$36,INDEX(02_RAW_DATA!$E$2:$U$57,0,MATCH($C49&amp;" [YR"&amp;$C49&amp;"]",02_RAW_DATA!$E$1:$U$1,0)),"&gt;-1E+300")=0,"",SUMIFS(INDEX(02_RAW_DATA!$E$2:$U$57,0,MATCH($C49&amp;" [YR"&amp;$C49&amp;"]",02_RAW_DATA!$E$1:$U$1,0)),02_RAW_DATA!$B$2:$B$57,$B49,02_RAW_DATA!$D$2:$D$57,01_README!$C$36))</f>
        <v>10503861266.7468</v>
      </c>
      <c r="N49" s="11" t="n">
        <f aca="false">IF(COUNTIFS(02_RAW_DATA!$B$2:$B$57,$B49,02_RAW_DATA!$D$2:$D$57,01_README!$C$37,INDEX(02_RAW_DATA!$E$2:$U$57,0,MATCH($C49&amp;" [YR"&amp;$C49&amp;"]",02_RAW_DATA!$E$1:$U$1,0)),"&gt;-1E+300")=0,"",SUMIFS(INDEX(02_RAW_DATA!$E$2:$U$57,0,MATCH($C49&amp;" [YR"&amp;$C49&amp;"]",02_RAW_DATA!$E$1:$U$1,0)),02_RAW_DATA!$B$2:$B$57,$B49,02_RAW_DATA!$D$2:$D$57,01_README!$C$37))</f>
        <v>2.68622429295406</v>
      </c>
      <c r="O49" s="11" t="n">
        <f aca="false">IF(COUNTIFS(02_RAW_DATA!$B$2:$B$57,$B49,02_RAW_DATA!$D$2:$D$57,01_README!$C$38,INDEX(02_RAW_DATA!$E$2:$U$57,0,MATCH($C49&amp;" [YR"&amp;$C49&amp;"]",02_RAW_DATA!$E$1:$U$1,0)),"&gt;-1E+300")=0,"",SUMIFS(INDEX(02_RAW_DATA!$E$2:$U$57,0,MATCH($C49&amp;" [YR"&amp;$C49&amp;"]",02_RAW_DATA!$E$1:$U$1,0)),02_RAW_DATA!$B$2:$B$57,$B49,02_RAW_DATA!$D$2:$D$57,01_README!$C$38))</f>
        <v>19.422337669866</v>
      </c>
      <c r="P49" s="11" t="n">
        <f aca="false">IF(COUNTIFS(02_RAW_DATA!$B$2:$B$57,$B49,02_RAW_DATA!$D$2:$D$57,01_README!$C$39,INDEX(02_RAW_DATA!$E$2:$U$57,0,MATCH($C49&amp;" [YR"&amp;$C49&amp;"]",02_RAW_DATA!$E$1:$U$1,0)),"&gt;-1E+300")=0,"",SUMIFS(INDEX(02_RAW_DATA!$E$2:$U$57,0,MATCH($C49&amp;" [YR"&amp;$C49&amp;"]",02_RAW_DATA!$E$1:$U$1,0)),02_RAW_DATA!$B$2:$B$57,$B49,02_RAW_DATA!$D$2:$D$57,01_README!$C$39))</f>
        <v>0.624791974567142</v>
      </c>
      <c r="Q49" s="10" t="n">
        <f aca="false">IF(COUNTIFS(02_RAW_DATA!$B$2:$B$57,$B49,02_RAW_DATA!$D$2:$D$57,01_README!$C$40,INDEX(02_RAW_DATA!$E$2:$U$57,0,MATCH($C49&amp;" [YR"&amp;$C49&amp;"]",02_RAW_DATA!$E$1:$U$1,0)),"&gt;-1E+300")=0,"",SUMIFS(INDEX(02_RAW_DATA!$E$2:$U$57,0,MATCH($C49&amp;" [YR"&amp;$C49&amp;"]",02_RAW_DATA!$E$1:$U$1,0)),02_RAW_DATA!$B$2:$B$57,$B49,02_RAW_DATA!$D$2:$D$57,01_README!$C$40))</f>
        <v>283617000000</v>
      </c>
    </row>
    <row r="50" customFormat="false" ht="15" hidden="false" customHeight="false" outlineLevel="0" collapsed="false">
      <c r="A50" s="8" t="s">
        <v>140</v>
      </c>
      <c r="B50" s="8" t="s">
        <v>134</v>
      </c>
      <c r="C50" s="8" t="n">
        <v>2010</v>
      </c>
      <c r="D50" s="10" t="n">
        <f aca="false">IF(COUNTIFS(02_RAW_DATA!$B$2:$B$57,$B50,02_RAW_DATA!$D$2:$D$57,01_README!$C$27,INDEX(02_RAW_DATA!$E$2:$U$57,0,MATCH($C50&amp;" [YR"&amp;$C50&amp;"]",02_RAW_DATA!$E$1:$U$1,0)),"&gt;-1E+300")=0,"",SUMIFS(INDEX(02_RAW_DATA!$E$2:$U$57,0,MATCH($C50&amp;" [YR"&amp;$C50&amp;"]",02_RAW_DATA!$E$1:$U$1,0)),02_RAW_DATA!$B$2:$B$57,$B50,02_RAW_DATA!$D$2:$D$57,01_README!$C$27))</f>
        <v>91112160800.7668</v>
      </c>
      <c r="E50" s="11" t="n">
        <f aca="false">IF(COUNTIFS(02_RAW_DATA!$B$2:$B$57,$B50,02_RAW_DATA!$D$2:$D$57,01_README!$C$28,INDEX(02_RAW_DATA!$E$2:$U$57,0,MATCH($C50&amp;" [YR"&amp;$C50&amp;"]",02_RAW_DATA!$E$1:$U$1,0)),"&gt;-1E+300")=0,"",SUMIFS(INDEX(02_RAW_DATA!$E$2:$U$57,0,MATCH($C50&amp;" [YR"&amp;$C50&amp;"]",02_RAW_DATA!$E$1:$U$1,0)),02_RAW_DATA!$B$2:$B$57,$B50,02_RAW_DATA!$D$2:$D$57,01_README!$C$28))</f>
        <v>6.79058159142423</v>
      </c>
      <c r="F50" s="10" t="n">
        <f aca="false">IF(COUNTIFS(02_RAW_DATA!$B$2:$B$57,$B50,02_RAW_DATA!$D$2:$D$57,01_README!$C$29,INDEX(02_RAW_DATA!$E$2:$U$57,0,MATCH($C50&amp;" [YR"&amp;$C50&amp;"]",02_RAW_DATA!$E$1:$U$1,0)),"&gt;-1E+300")=0,"",SUMIFS(INDEX(02_RAW_DATA!$E$2:$U$57,0,MATCH($C50&amp;" [YR"&amp;$C50&amp;"]",02_RAW_DATA!$E$1:$U$1,0)),02_RAW_DATA!$B$2:$B$57,$B50,02_RAW_DATA!$D$2:$D$57,01_README!$C$29))</f>
        <v>16899.448680529</v>
      </c>
      <c r="G50" s="10" t="n">
        <f aca="false">IF(COUNTIFS(02_RAW_DATA!$B$2:$B$57,$B50,02_RAW_DATA!$D$2:$D$57,01_README!$C$30,INDEX(02_RAW_DATA!$E$2:$U$57,0,MATCH($C50&amp;" [YR"&amp;$C50&amp;"]",02_RAW_DATA!$E$1:$U$1,0)),"&gt;-1E+300")=0,"",SUMIFS(INDEX(02_RAW_DATA!$E$2:$U$57,0,MATCH($C50&amp;" [YR"&amp;$C50&amp;"]",02_RAW_DATA!$E$1:$U$1,0)),02_RAW_DATA!$B$2:$B$57,$B50,02_RAW_DATA!$D$2:$D$57,01_README!$C$30))</f>
        <v>70230239457.3835</v>
      </c>
      <c r="H50" s="10" t="n">
        <f aca="false">IF(COUNTIFS(02_RAW_DATA!$B$2:$B$57,$B50,02_RAW_DATA!$D$2:$D$57,01_README!$C$31,INDEX(02_RAW_DATA!$E$2:$U$57,0,MATCH($C50&amp;" [YR"&amp;$C50&amp;"]",02_RAW_DATA!$E$1:$U$1,0)),"&gt;-1E+300")=0,"",SUMIFS(INDEX(02_RAW_DATA!$E$2:$U$57,0,MATCH($C50&amp;" [YR"&amp;$C50&amp;"]",02_RAW_DATA!$E$1:$U$1,0)),02_RAW_DATA!$B$2:$B$57,$B50,02_RAW_DATA!$D$2:$D$57,01_README!$C$31))</f>
        <v>57887048307.6546</v>
      </c>
      <c r="I50" s="10" t="n">
        <f aca="false">IF(COUNTIFS(02_RAW_DATA!$B$2:$B$57,$B50,02_RAW_DATA!$D$2:$D$57,01_README!$C$32,INDEX(02_RAW_DATA!$E$2:$U$57,0,MATCH($C50&amp;" [YR"&amp;$C50&amp;"]",02_RAW_DATA!$E$1:$U$1,0)),"&gt;-1E+300")=0,"",SUMIFS(INDEX(02_RAW_DATA!$E$2:$U$57,0,MATCH($C50&amp;" [YR"&amp;$C50&amp;"]",02_RAW_DATA!$E$1:$U$1,0)),02_RAW_DATA!$B$2:$B$57,$B50,02_RAW_DATA!$D$2:$D$57,01_README!$C$32))</f>
        <v>71092464365.9168</v>
      </c>
      <c r="J50" s="11" t="n">
        <f aca="false">IF(COUNTIFS(02_RAW_DATA!$B$2:$B$57,$B50,02_RAW_DATA!$D$2:$D$57,01_README!$C$33,INDEX(02_RAW_DATA!$E$2:$U$57,0,MATCH($C50&amp;" [YR"&amp;$C50&amp;"]",02_RAW_DATA!$E$1:$U$1,0)),"&gt;-1E+300")=0,"",SUMIFS(INDEX(02_RAW_DATA!$E$2:$U$57,0,MATCH($C50&amp;" [YR"&amp;$C50&amp;"]",02_RAW_DATA!$E$1:$U$1,0)),02_RAW_DATA!$B$2:$B$57,$B50,02_RAW_DATA!$D$2:$D$57,01_README!$C$33))</f>
        <v>77.0810820862371</v>
      </c>
      <c r="K50" s="11" t="n">
        <f aca="false">IF(COUNTIFS(02_RAW_DATA!$B$2:$B$57,$B50,02_RAW_DATA!$D$2:$D$57,01_README!$C$34,INDEX(02_RAW_DATA!$E$2:$U$57,0,MATCH($C50&amp;" [YR"&amp;$C50&amp;"]",02_RAW_DATA!$E$1:$U$1,0)),"&gt;-1E+300")=0,"",SUMIFS(INDEX(02_RAW_DATA!$E$2:$U$57,0,MATCH($C50&amp;" [YR"&amp;$C50&amp;"]",02_RAW_DATA!$E$1:$U$1,0)),02_RAW_DATA!$B$2:$B$57,$B50,02_RAW_DATA!$D$2:$D$57,01_README!$C$34))</f>
        <v>78.0274155953488</v>
      </c>
      <c r="L50" s="11" t="n">
        <f aca="false">IF(COUNTIFS(02_RAW_DATA!$B$2:$B$57,$B50,02_RAW_DATA!$D$2:$D$57,01_README!$C$35,INDEX(02_RAW_DATA!$E$2:$U$57,0,MATCH($C50&amp;" [YR"&amp;$C50&amp;"]",02_RAW_DATA!$E$1:$U$1,0)),"&gt;-1E+300")=0,"",SUMIFS(INDEX(02_RAW_DATA!$E$2:$U$57,0,MATCH($C50&amp;" [YR"&amp;$C50&amp;"]",02_RAW_DATA!$E$1:$U$1,0)),02_RAW_DATA!$B$2:$B$57,$B50,02_RAW_DATA!$D$2:$D$57,01_README!$C$35))</f>
        <v>155.108497681586</v>
      </c>
      <c r="M50" s="10" t="n">
        <f aca="false">IF(COUNTIFS(02_RAW_DATA!$B$2:$B$57,$B50,02_RAW_DATA!$D$2:$D$57,01_README!$C$36,INDEX(02_RAW_DATA!$E$2:$U$57,0,MATCH($C50&amp;" [YR"&amp;$C50&amp;"]",02_RAW_DATA!$E$1:$U$1,0)),"&gt;-1E+300")=0,"",SUMIFS(INDEX(02_RAW_DATA!$E$2:$U$57,0,MATCH($C50&amp;" [YR"&amp;$C50&amp;"]",02_RAW_DATA!$E$1:$U$1,0)),02_RAW_DATA!$B$2:$B$57,$B50,02_RAW_DATA!$D$2:$D$57,01_README!$C$36))</f>
        <v>2115832960.23964</v>
      </c>
      <c r="N50" s="11" t="n">
        <f aca="false">IF(COUNTIFS(02_RAW_DATA!$B$2:$B$57,$B50,02_RAW_DATA!$D$2:$D$57,01_README!$C$37,INDEX(02_RAW_DATA!$E$2:$U$57,0,MATCH($C50&amp;" [YR"&amp;$C50&amp;"]",02_RAW_DATA!$E$1:$U$1,0)),"&gt;-1E+300")=0,"",SUMIFS(INDEX(02_RAW_DATA!$E$2:$U$57,0,MATCH($C50&amp;" [YR"&amp;$C50&amp;"]",02_RAW_DATA!$E$1:$U$1,0)),02_RAW_DATA!$B$2:$B$57,$B50,02_RAW_DATA!$D$2:$D$57,01_README!$C$37))</f>
        <v>2.32222893370545</v>
      </c>
      <c r="O50" s="11" t="n">
        <f aca="false">IF(COUNTIFS(02_RAW_DATA!$B$2:$B$57,$B50,02_RAW_DATA!$D$2:$D$57,01_README!$C$38,INDEX(02_RAW_DATA!$E$2:$U$57,0,MATCH($C50&amp;" [YR"&amp;$C50&amp;"]",02_RAW_DATA!$E$1:$U$1,0)),"&gt;-1E+300")=0,"",SUMIFS(INDEX(02_RAW_DATA!$E$2:$U$57,0,MATCH($C50&amp;" [YR"&amp;$C50&amp;"]",02_RAW_DATA!$E$1:$U$1,0)),02_RAW_DATA!$B$2:$B$57,$B50,02_RAW_DATA!$D$2:$D$57,01_README!$C$38))</f>
        <v>17.1362690628545</v>
      </c>
      <c r="P50" s="11" t="n">
        <f aca="false">IF(COUNTIFS(02_RAW_DATA!$B$2:$B$57,$B50,02_RAW_DATA!$D$2:$D$57,01_README!$C$39,INDEX(02_RAW_DATA!$E$2:$U$57,0,MATCH($C50&amp;" [YR"&amp;$C50&amp;"]",02_RAW_DATA!$E$1:$U$1,0)),"&gt;-1E+300")=0,"",SUMIFS(INDEX(02_RAW_DATA!$E$2:$U$57,0,MATCH($C50&amp;" [YR"&amp;$C50&amp;"]",02_RAW_DATA!$E$1:$U$1,0)),02_RAW_DATA!$B$2:$B$57,$B50,02_RAW_DATA!$D$2:$D$57,01_README!$C$39))</f>
        <v>-4.6203044518302</v>
      </c>
      <c r="Q50" s="10" t="n">
        <f aca="false">IF(COUNTIFS(02_RAW_DATA!$B$2:$B$57,$B50,02_RAW_DATA!$D$2:$D$57,01_README!$C$40,INDEX(02_RAW_DATA!$E$2:$U$57,0,MATCH($C50&amp;" [YR"&amp;$C50&amp;"]",02_RAW_DATA!$E$1:$U$1,0)),"&gt;-1E+300")=0,"",SUMIFS(INDEX(02_RAW_DATA!$E$2:$U$57,0,MATCH($C50&amp;" [YR"&amp;$C50&amp;"]",02_RAW_DATA!$E$1:$U$1,0)),02_RAW_DATA!$B$2:$B$57,$B50,02_RAW_DATA!$D$2:$D$57,01_README!$C$40))</f>
        <v>65957000000</v>
      </c>
    </row>
    <row r="51" customFormat="false" ht="15" hidden="false" customHeight="false" outlineLevel="0" collapsed="false">
      <c r="A51" s="8" t="s">
        <v>140</v>
      </c>
      <c r="B51" s="8" t="s">
        <v>134</v>
      </c>
      <c r="C51" s="8" t="n">
        <v>2011</v>
      </c>
      <c r="D51" s="10" t="n">
        <f aca="false">IF(COUNTIFS(02_RAW_DATA!$B$2:$B$57,$B51,02_RAW_DATA!$D$2:$D$57,01_README!$C$27,INDEX(02_RAW_DATA!$E$2:$U$57,0,MATCH($C51&amp;" [YR"&amp;$C51&amp;"]",02_RAW_DATA!$E$1:$U$1,0)),"&gt;-1E+300")=0,"",SUMIFS(INDEX(02_RAW_DATA!$E$2:$U$57,0,MATCH($C51&amp;" [YR"&amp;$C51&amp;"]",02_RAW_DATA!$E$1:$U$1,0)),02_RAW_DATA!$B$2:$B$57,$B51,02_RAW_DATA!$D$2:$D$57,01_README!$C$27))</f>
        <v>99705104723.4341</v>
      </c>
      <c r="E51" s="11" t="n">
        <f aca="false">IF(COUNTIFS(02_RAW_DATA!$B$2:$B$57,$B51,02_RAW_DATA!$D$2:$D$57,01_README!$C$28,INDEX(02_RAW_DATA!$E$2:$U$57,0,MATCH($C51&amp;" [YR"&amp;$C51&amp;"]",02_RAW_DATA!$E$1:$U$1,0)),"&gt;-1E+300")=0,"",SUMIFS(INDEX(02_RAW_DATA!$E$2:$U$57,0,MATCH($C51&amp;" [YR"&amp;$C51&amp;"]",02_RAW_DATA!$E$1:$U$1,0)),02_RAW_DATA!$B$2:$B$57,$B51,02_RAW_DATA!$D$2:$D$57,01_README!$C$28))</f>
        <v>2.56242473215553</v>
      </c>
      <c r="F51" s="10" t="n">
        <f aca="false">IF(COUNTIFS(02_RAW_DATA!$B$2:$B$57,$B51,02_RAW_DATA!$D$2:$D$57,01_README!$C$29,INDEX(02_RAW_DATA!$E$2:$U$57,0,MATCH($C51&amp;" [YR"&amp;$C51&amp;"]",02_RAW_DATA!$E$1:$U$1,0)),"&gt;-1E+300")=0,"",SUMIFS(INDEX(02_RAW_DATA!$E$2:$U$57,0,MATCH($C51&amp;" [YR"&amp;$C51&amp;"]",02_RAW_DATA!$E$1:$U$1,0)),02_RAW_DATA!$B$2:$B$57,$B51,02_RAW_DATA!$D$2:$D$57,01_README!$C$29))</f>
        <v>18469.4354316836</v>
      </c>
      <c r="G51" s="10" t="n">
        <f aca="false">IF(COUNTIFS(02_RAW_DATA!$B$2:$B$57,$B51,02_RAW_DATA!$D$2:$D$57,01_README!$C$30,INDEX(02_RAW_DATA!$E$2:$U$57,0,MATCH($C51&amp;" [YR"&amp;$C51&amp;"]",02_RAW_DATA!$E$1:$U$1,0)),"&gt;-1E+300")=0,"",SUMIFS(INDEX(02_RAW_DATA!$E$2:$U$57,0,MATCH($C51&amp;" [YR"&amp;$C51&amp;"]",02_RAW_DATA!$E$1:$U$1,0)),02_RAW_DATA!$B$2:$B$57,$B51,02_RAW_DATA!$D$2:$D$57,01_README!$C$30))</f>
        <v>84383473250.7784</v>
      </c>
      <c r="H51" s="10" t="n">
        <f aca="false">IF(COUNTIFS(02_RAW_DATA!$B$2:$B$57,$B51,02_RAW_DATA!$D$2:$D$57,01_README!$C$31,INDEX(02_RAW_DATA!$E$2:$U$57,0,MATCH($C51&amp;" [YR"&amp;$C51&amp;"]",02_RAW_DATA!$E$1:$U$1,0)),"&gt;-1E+300")=0,"",SUMIFS(INDEX(02_RAW_DATA!$E$2:$U$57,0,MATCH($C51&amp;" [YR"&amp;$C51&amp;"]",02_RAW_DATA!$E$1:$U$1,0)),02_RAW_DATA!$B$2:$B$57,$B51,02_RAW_DATA!$D$2:$D$57,01_README!$C$31))</f>
        <v>63727577722.7751</v>
      </c>
      <c r="I51" s="10" t="n">
        <f aca="false">IF(COUNTIFS(02_RAW_DATA!$B$2:$B$57,$B51,02_RAW_DATA!$D$2:$D$57,01_README!$C$32,INDEX(02_RAW_DATA!$E$2:$U$57,0,MATCH($C51&amp;" [YR"&amp;$C51&amp;"]",02_RAW_DATA!$E$1:$U$1,0)),"&gt;-1E+300")=0,"",SUMIFS(INDEX(02_RAW_DATA!$E$2:$U$57,0,MATCH($C51&amp;" [YR"&amp;$C51&amp;"]",02_RAW_DATA!$E$1:$U$1,0)),02_RAW_DATA!$B$2:$B$57,$B51,02_RAW_DATA!$D$2:$D$57,01_README!$C$32))</f>
        <v>84295704904.2609</v>
      </c>
      <c r="J51" s="11" t="n">
        <f aca="false">IF(COUNTIFS(02_RAW_DATA!$B$2:$B$57,$B51,02_RAW_DATA!$D$2:$D$57,01_README!$C$33,INDEX(02_RAW_DATA!$E$2:$U$57,0,MATCH($C51&amp;" [YR"&amp;$C51&amp;"]",02_RAW_DATA!$E$1:$U$1,0)),"&gt;-1E+300")=0,"",SUMIFS(INDEX(02_RAW_DATA!$E$2:$U$57,0,MATCH($C51&amp;" [YR"&amp;$C51&amp;"]",02_RAW_DATA!$E$1:$U$1,0)),02_RAW_DATA!$B$2:$B$57,$B51,02_RAW_DATA!$D$2:$D$57,01_README!$C$33))</f>
        <v>84.6330521239054</v>
      </c>
      <c r="K51" s="11" t="n">
        <f aca="false">IF(COUNTIFS(02_RAW_DATA!$B$2:$B$57,$B51,02_RAW_DATA!$D$2:$D$57,01_README!$C$34,INDEX(02_RAW_DATA!$E$2:$U$57,0,MATCH($C51&amp;" [YR"&amp;$C51&amp;"]",02_RAW_DATA!$E$1:$U$1,0)),"&gt;-1E+300")=0,"",SUMIFS(INDEX(02_RAW_DATA!$E$2:$U$57,0,MATCH($C51&amp;" [YR"&amp;$C51&amp;"]",02_RAW_DATA!$E$1:$U$1,0)),02_RAW_DATA!$B$2:$B$57,$B51,02_RAW_DATA!$D$2:$D$57,01_README!$C$34))</f>
        <v>84.5450241871604</v>
      </c>
      <c r="L51" s="11" t="n">
        <f aca="false">IF(COUNTIFS(02_RAW_DATA!$B$2:$B$57,$B51,02_RAW_DATA!$D$2:$D$57,01_README!$C$35,INDEX(02_RAW_DATA!$E$2:$U$57,0,MATCH($C51&amp;" [YR"&amp;$C51&amp;"]",02_RAW_DATA!$E$1:$U$1,0)),"&gt;-1E+300")=0,"",SUMIFS(INDEX(02_RAW_DATA!$E$2:$U$57,0,MATCH($C51&amp;" [YR"&amp;$C51&amp;"]",02_RAW_DATA!$E$1:$U$1,0)),02_RAW_DATA!$B$2:$B$57,$B51,02_RAW_DATA!$D$2:$D$57,01_README!$C$35))</f>
        <v>169.178076311066</v>
      </c>
      <c r="M51" s="10" t="n">
        <f aca="false">IF(COUNTIFS(02_RAW_DATA!$B$2:$B$57,$B51,02_RAW_DATA!$D$2:$D$57,01_README!$C$36,INDEX(02_RAW_DATA!$E$2:$U$57,0,MATCH($C51&amp;" [YR"&amp;$C51&amp;"]",02_RAW_DATA!$E$1:$U$1,0)),"&gt;-1E+300")=0,"",SUMIFS(INDEX(02_RAW_DATA!$E$2:$U$57,0,MATCH($C51&amp;" [YR"&amp;$C51&amp;"]",02_RAW_DATA!$E$1:$U$1,0)),02_RAW_DATA!$B$2:$B$57,$B51,02_RAW_DATA!$D$2:$D$57,01_README!$C$36))</f>
        <v>5431592591.91496</v>
      </c>
      <c r="N51" s="11" t="n">
        <f aca="false">IF(COUNTIFS(02_RAW_DATA!$B$2:$B$57,$B51,02_RAW_DATA!$D$2:$D$57,01_README!$C$37,INDEX(02_RAW_DATA!$E$2:$U$57,0,MATCH($C51&amp;" [YR"&amp;$C51&amp;"]",02_RAW_DATA!$E$1:$U$1,0)),"&gt;-1E+300")=0,"",SUMIFS(INDEX(02_RAW_DATA!$E$2:$U$57,0,MATCH($C51&amp;" [YR"&amp;$C51&amp;"]",02_RAW_DATA!$E$1:$U$1,0)),02_RAW_DATA!$B$2:$B$57,$B51,02_RAW_DATA!$D$2:$D$57,01_README!$C$37))</f>
        <v>5.44765747649664</v>
      </c>
      <c r="O51" s="11" t="n">
        <f aca="false">IF(COUNTIFS(02_RAW_DATA!$B$2:$B$57,$B51,02_RAW_DATA!$D$2:$D$57,01_README!$C$38,INDEX(02_RAW_DATA!$E$2:$U$57,0,MATCH($C51&amp;" [YR"&amp;$C51&amp;"]",02_RAW_DATA!$E$1:$U$1,0)),"&gt;-1E+300")=0,"",SUMIFS(INDEX(02_RAW_DATA!$E$2:$U$57,0,MATCH($C51&amp;" [YR"&amp;$C51&amp;"]",02_RAW_DATA!$E$1:$U$1,0)),02_RAW_DATA!$B$2:$B$57,$B51,02_RAW_DATA!$D$2:$D$57,01_README!$C$38))</f>
        <v>17.408841685454</v>
      </c>
      <c r="P51" s="11" t="n">
        <f aca="false">IF(COUNTIFS(02_RAW_DATA!$B$2:$B$57,$B51,02_RAW_DATA!$D$2:$D$57,01_README!$C$39,INDEX(02_RAW_DATA!$E$2:$U$57,0,MATCH($C51&amp;" [YR"&amp;$C51&amp;"]",02_RAW_DATA!$E$1:$U$1,0)),"&gt;-1E+300")=0,"",SUMIFS(INDEX(02_RAW_DATA!$E$2:$U$57,0,MATCH($C51&amp;" [YR"&amp;$C51&amp;"]",02_RAW_DATA!$E$1:$U$1,0)),02_RAW_DATA!$B$2:$B$57,$B51,02_RAW_DATA!$D$2:$D$57,01_README!$C$39))</f>
        <v>-4.92376770602967</v>
      </c>
      <c r="Q51" s="10" t="n">
        <f aca="false">IF(COUNTIFS(02_RAW_DATA!$B$2:$B$57,$B51,02_RAW_DATA!$D$2:$D$57,01_README!$C$40,INDEX(02_RAW_DATA!$E$2:$U$57,0,MATCH($C51&amp;" [YR"&amp;$C51&amp;"]",02_RAW_DATA!$E$1:$U$1,0)),"&gt;-1E+300")=0,"",SUMIFS(INDEX(02_RAW_DATA!$E$2:$U$57,0,MATCH($C51&amp;" [YR"&amp;$C51&amp;"]",02_RAW_DATA!$E$1:$U$1,0)),02_RAW_DATA!$B$2:$B$57,$B51,02_RAW_DATA!$D$2:$D$57,01_README!$C$40))</f>
        <v>79736000000</v>
      </c>
    </row>
    <row r="52" customFormat="false" ht="15" hidden="false" customHeight="false" outlineLevel="0" collapsed="false">
      <c r="A52" s="8" t="s">
        <v>140</v>
      </c>
      <c r="B52" s="8" t="s">
        <v>134</v>
      </c>
      <c r="C52" s="8" t="n">
        <v>2012</v>
      </c>
      <c r="D52" s="10" t="n">
        <f aca="false">IF(COUNTIFS(02_RAW_DATA!$B$2:$B$57,$B52,02_RAW_DATA!$D$2:$D$57,01_README!$C$27,INDEX(02_RAW_DATA!$E$2:$U$57,0,MATCH($C52&amp;" [YR"&amp;$C52&amp;"]",02_RAW_DATA!$E$1:$U$1,0)),"&gt;-1E+300")=0,"",SUMIFS(INDEX(02_RAW_DATA!$E$2:$U$57,0,MATCH($C52&amp;" [YR"&amp;$C52&amp;"]",02_RAW_DATA!$E$1:$U$1,0)),02_RAW_DATA!$B$2:$B$57,$B52,02_RAW_DATA!$D$2:$D$57,01_README!$C$27))</f>
        <v>94724394278.052</v>
      </c>
      <c r="E52" s="11" t="n">
        <f aca="false">IF(COUNTIFS(02_RAW_DATA!$B$2:$B$57,$B52,02_RAW_DATA!$D$2:$D$57,01_README!$C$28,INDEX(02_RAW_DATA!$E$2:$U$57,0,MATCH($C52&amp;" [YR"&amp;$C52&amp;"]",02_RAW_DATA!$E$1:$U$1,0)),"&gt;-1E+300")=0,"",SUMIFS(INDEX(02_RAW_DATA!$E$2:$U$57,0,MATCH($C52&amp;" [YR"&amp;$C52&amp;"]",02_RAW_DATA!$E$1:$U$1,0)),02_RAW_DATA!$B$2:$B$57,$B52,02_RAW_DATA!$D$2:$D$57,01_README!$C$28))</f>
        <v>1.56917104702706</v>
      </c>
      <c r="F52" s="10" t="n">
        <f aca="false">IF(COUNTIFS(02_RAW_DATA!$B$2:$B$57,$B52,02_RAW_DATA!$D$2:$D$57,01_README!$C$29,INDEX(02_RAW_DATA!$E$2:$U$57,0,MATCH($C52&amp;" [YR"&amp;$C52&amp;"]",02_RAW_DATA!$E$1:$U$1,0)),"&gt;-1E+300")=0,"",SUMIFS(INDEX(02_RAW_DATA!$E$2:$U$57,0,MATCH($C52&amp;" [YR"&amp;$C52&amp;"]",02_RAW_DATA!$E$1:$U$1,0)),02_RAW_DATA!$B$2:$B$57,$B52,02_RAW_DATA!$D$2:$D$57,01_README!$C$29))</f>
        <v>17516.9691054078</v>
      </c>
      <c r="G52" s="10" t="n">
        <f aca="false">IF(COUNTIFS(02_RAW_DATA!$B$2:$B$57,$B52,02_RAW_DATA!$D$2:$D$57,01_README!$C$30,INDEX(02_RAW_DATA!$E$2:$U$57,0,MATCH($C52&amp;" [YR"&amp;$C52&amp;"]",02_RAW_DATA!$E$1:$U$1,0)),"&gt;-1E+300")=0,"",SUMIFS(INDEX(02_RAW_DATA!$E$2:$U$57,0,MATCH($C52&amp;" [YR"&amp;$C52&amp;"]",02_RAW_DATA!$E$1:$U$1,0)),02_RAW_DATA!$B$2:$B$57,$B52,02_RAW_DATA!$D$2:$D$57,01_README!$C$30))</f>
        <v>86112869512.4262</v>
      </c>
      <c r="H52" s="10" t="n">
        <f aca="false">IF(COUNTIFS(02_RAW_DATA!$B$2:$B$57,$B52,02_RAW_DATA!$D$2:$D$57,01_README!$C$31,INDEX(02_RAW_DATA!$E$2:$U$57,0,MATCH($C52&amp;" [YR"&amp;$C52&amp;"]",02_RAW_DATA!$E$1:$U$1,0)),"&gt;-1E+300")=0,"",SUMIFS(INDEX(02_RAW_DATA!$E$2:$U$57,0,MATCH($C52&amp;" [YR"&amp;$C52&amp;"]",02_RAW_DATA!$E$1:$U$1,0)),02_RAW_DATA!$B$2:$B$57,$B52,02_RAW_DATA!$D$2:$D$57,01_README!$C$31))</f>
        <v>69596992685.0173</v>
      </c>
      <c r="I52" s="10" t="n">
        <f aca="false">IF(COUNTIFS(02_RAW_DATA!$B$2:$B$57,$B52,02_RAW_DATA!$D$2:$D$57,01_README!$C$32,INDEX(02_RAW_DATA!$E$2:$U$57,0,MATCH($C52&amp;" [YR"&amp;$C52&amp;"]",02_RAW_DATA!$E$1:$U$1,0)),"&gt;-1E+300")=0,"",SUMIFS(INDEX(02_RAW_DATA!$E$2:$U$57,0,MATCH($C52&amp;" [YR"&amp;$C52&amp;"]",02_RAW_DATA!$E$1:$U$1,0)),02_RAW_DATA!$B$2:$B$57,$B52,02_RAW_DATA!$D$2:$D$57,01_README!$C$32))</f>
        <v>81519904185.1137</v>
      </c>
      <c r="J52" s="11" t="n">
        <f aca="false">IF(COUNTIFS(02_RAW_DATA!$B$2:$B$57,$B52,02_RAW_DATA!$D$2:$D$57,01_README!$C$33,INDEX(02_RAW_DATA!$E$2:$U$57,0,MATCH($C52&amp;" [YR"&amp;$C52&amp;"]",02_RAW_DATA!$E$1:$U$1,0)),"&gt;-1E+300")=0,"",SUMIFS(INDEX(02_RAW_DATA!$E$2:$U$57,0,MATCH($C52&amp;" [YR"&amp;$C52&amp;"]",02_RAW_DATA!$E$1:$U$1,0)),02_RAW_DATA!$B$2:$B$57,$B52,02_RAW_DATA!$D$2:$D$57,01_README!$C$33))</f>
        <v>90.908862673381</v>
      </c>
      <c r="K52" s="11" t="n">
        <f aca="false">IF(COUNTIFS(02_RAW_DATA!$B$2:$B$57,$B52,02_RAW_DATA!$D$2:$D$57,01_README!$C$34,INDEX(02_RAW_DATA!$E$2:$U$57,0,MATCH($C52&amp;" [YR"&amp;$C52&amp;"]",02_RAW_DATA!$E$1:$U$1,0)),"&gt;-1E+300")=0,"",SUMIFS(INDEX(02_RAW_DATA!$E$2:$U$57,0,MATCH($C52&amp;" [YR"&amp;$C52&amp;"]",02_RAW_DATA!$E$1:$U$1,0)),02_RAW_DATA!$B$2:$B$57,$B52,02_RAW_DATA!$D$2:$D$57,01_README!$C$34))</f>
        <v>86.0600955080503</v>
      </c>
      <c r="L52" s="11" t="n">
        <f aca="false">IF(COUNTIFS(02_RAW_DATA!$B$2:$B$57,$B52,02_RAW_DATA!$D$2:$D$57,01_README!$C$35,INDEX(02_RAW_DATA!$E$2:$U$57,0,MATCH($C52&amp;" [YR"&amp;$C52&amp;"]",02_RAW_DATA!$E$1:$U$1,0)),"&gt;-1E+300")=0,"",SUMIFS(INDEX(02_RAW_DATA!$E$2:$U$57,0,MATCH($C52&amp;" [YR"&amp;$C52&amp;"]",02_RAW_DATA!$E$1:$U$1,0)),02_RAW_DATA!$B$2:$B$57,$B52,02_RAW_DATA!$D$2:$D$57,01_README!$C$35))</f>
        <v>176.968958181431</v>
      </c>
      <c r="M52" s="10" t="n">
        <f aca="false">IF(COUNTIFS(02_RAW_DATA!$B$2:$B$57,$B52,02_RAW_DATA!$D$2:$D$57,01_README!$C$36,INDEX(02_RAW_DATA!$E$2:$U$57,0,MATCH($C52&amp;" [YR"&amp;$C52&amp;"]",02_RAW_DATA!$E$1:$U$1,0)),"&gt;-1E+300")=0,"",SUMIFS(INDEX(02_RAW_DATA!$E$2:$U$57,0,MATCH($C52&amp;" [YR"&amp;$C52&amp;"]",02_RAW_DATA!$E$1:$U$1,0)),02_RAW_DATA!$B$2:$B$57,$B52,02_RAW_DATA!$D$2:$D$57,01_README!$C$36))</f>
        <v>1776566141.06018</v>
      </c>
      <c r="N52" s="11" t="n">
        <f aca="false">IF(COUNTIFS(02_RAW_DATA!$B$2:$B$57,$B52,02_RAW_DATA!$D$2:$D$57,01_README!$C$37,INDEX(02_RAW_DATA!$E$2:$U$57,0,MATCH($C52&amp;" [YR"&amp;$C52&amp;"]",02_RAW_DATA!$E$1:$U$1,0)),"&gt;-1E+300")=0,"",SUMIFS(INDEX(02_RAW_DATA!$E$2:$U$57,0,MATCH($C52&amp;" [YR"&amp;$C52&amp;"]",02_RAW_DATA!$E$1:$U$1,0)),02_RAW_DATA!$B$2:$B$57,$B52,02_RAW_DATA!$D$2:$D$57,01_README!$C$37))</f>
        <v>1.87551069035637</v>
      </c>
      <c r="O52" s="11" t="n">
        <f aca="false">IF(COUNTIFS(02_RAW_DATA!$B$2:$B$57,$B52,02_RAW_DATA!$D$2:$D$57,01_README!$C$38,INDEX(02_RAW_DATA!$E$2:$U$57,0,MATCH($C52&amp;" [YR"&amp;$C52&amp;"]",02_RAW_DATA!$E$1:$U$1,0)),"&gt;-1E+300")=0,"",SUMIFS(INDEX(02_RAW_DATA!$E$2:$U$57,0,MATCH($C52&amp;" [YR"&amp;$C52&amp;"]",02_RAW_DATA!$E$1:$U$1,0)),02_RAW_DATA!$B$2:$B$57,$B52,02_RAW_DATA!$D$2:$D$57,01_README!$C$38))</f>
        <v>17.2745943049528</v>
      </c>
      <c r="P52" s="11" t="n">
        <f aca="false">IF(COUNTIFS(02_RAW_DATA!$B$2:$B$57,$B52,02_RAW_DATA!$D$2:$D$57,01_README!$C$39,INDEX(02_RAW_DATA!$E$2:$U$57,0,MATCH($C52&amp;" [YR"&amp;$C52&amp;"]",02_RAW_DATA!$E$1:$U$1,0)),"&gt;-1E+300")=0,"",SUMIFS(INDEX(02_RAW_DATA!$E$2:$U$57,0,MATCH($C52&amp;" [YR"&amp;$C52&amp;"]",02_RAW_DATA!$E$1:$U$1,0)),02_RAW_DATA!$B$2:$B$57,$B52,02_RAW_DATA!$D$2:$D$57,01_README!$C$39))</f>
        <v>0.938943103720464</v>
      </c>
      <c r="Q52" s="10" t="n">
        <f aca="false">IF(COUNTIFS(02_RAW_DATA!$B$2:$B$57,$B52,02_RAW_DATA!$D$2:$D$57,01_README!$C$40,INDEX(02_RAW_DATA!$E$2:$U$57,0,MATCH($C52&amp;" [YR"&amp;$C52&amp;"]",02_RAW_DATA!$E$1:$U$1,0)),"&gt;-1E+300")=0,"",SUMIFS(INDEX(02_RAW_DATA!$E$2:$U$57,0,MATCH($C52&amp;" [YR"&amp;$C52&amp;"]",02_RAW_DATA!$E$1:$U$1,0)),02_RAW_DATA!$B$2:$B$57,$B52,02_RAW_DATA!$D$2:$D$57,01_README!$C$40))</f>
        <v>80721000000</v>
      </c>
    </row>
    <row r="53" customFormat="false" ht="15" hidden="false" customHeight="false" outlineLevel="0" collapsed="false">
      <c r="A53" s="8" t="s">
        <v>140</v>
      </c>
      <c r="B53" s="8" t="s">
        <v>134</v>
      </c>
      <c r="C53" s="8" t="n">
        <v>2013</v>
      </c>
      <c r="D53" s="10" t="n">
        <f aca="false">IF(COUNTIFS(02_RAW_DATA!$B$2:$B$57,$B53,02_RAW_DATA!$D$2:$D$57,01_README!$C$27,INDEX(02_RAW_DATA!$E$2:$U$57,0,MATCH($C53&amp;" [YR"&amp;$C53&amp;"]",02_RAW_DATA!$E$1:$U$1,0)),"&gt;-1E+300")=0,"",SUMIFS(INDEX(02_RAW_DATA!$E$2:$U$57,0,MATCH($C53&amp;" [YR"&amp;$C53&amp;"]",02_RAW_DATA!$E$1:$U$1,0)),02_RAW_DATA!$B$2:$B$57,$B53,02_RAW_DATA!$D$2:$D$57,01_README!$C$27))</f>
        <v>99134277850.3418</v>
      </c>
      <c r="E53" s="11" t="n">
        <f aca="false">IF(COUNTIFS(02_RAW_DATA!$B$2:$B$57,$B53,02_RAW_DATA!$D$2:$D$57,01_README!$C$28,INDEX(02_RAW_DATA!$E$2:$U$57,0,MATCH($C53&amp;" [YR"&amp;$C53&amp;"]",02_RAW_DATA!$E$1:$U$1,0)),"&gt;-1E+300")=0,"",SUMIFS(INDEX(02_RAW_DATA!$E$2:$U$57,0,MATCH($C53&amp;" [YR"&amp;$C53&amp;"]",02_RAW_DATA!$E$1:$U$1,0)),02_RAW_DATA!$B$2:$B$57,$B53,02_RAW_DATA!$D$2:$D$57,01_README!$C$28))</f>
        <v>0.703323545247201</v>
      </c>
      <c r="F53" s="10" t="n">
        <f aca="false">IF(COUNTIFS(02_RAW_DATA!$B$2:$B$57,$B53,02_RAW_DATA!$D$2:$D$57,01_README!$C$29,INDEX(02_RAW_DATA!$E$2:$U$57,0,MATCH($C53&amp;" [YR"&amp;$C53&amp;"]",02_RAW_DATA!$E$1:$U$1,0)),"&gt;-1E+300")=0,"",SUMIFS(INDEX(02_RAW_DATA!$E$2:$U$57,0,MATCH($C53&amp;" [YR"&amp;$C53&amp;"]",02_RAW_DATA!$E$1:$U$1,0)),02_RAW_DATA!$B$2:$B$57,$B53,02_RAW_DATA!$D$2:$D$57,01_README!$C$29))</f>
        <v>18312.7805149823</v>
      </c>
      <c r="G53" s="10" t="n">
        <f aca="false">IF(COUNTIFS(02_RAW_DATA!$B$2:$B$57,$B53,02_RAW_DATA!$D$2:$D$57,01_README!$C$30,INDEX(02_RAW_DATA!$E$2:$U$57,0,MATCH($C53&amp;" [YR"&amp;$C53&amp;"]",02_RAW_DATA!$E$1:$U$1,0)),"&gt;-1E+300")=0,"",SUMIFS(INDEX(02_RAW_DATA!$E$2:$U$57,0,MATCH($C53&amp;" [YR"&amp;$C53&amp;"]",02_RAW_DATA!$E$1:$U$1,0)),02_RAW_DATA!$B$2:$B$57,$B53,02_RAW_DATA!$D$2:$D$57,01_README!$C$30))</f>
        <v>92074947973.9152</v>
      </c>
      <c r="H53" s="10" t="n">
        <f aca="false">IF(COUNTIFS(02_RAW_DATA!$B$2:$B$57,$B53,02_RAW_DATA!$D$2:$D$57,01_README!$C$31,INDEX(02_RAW_DATA!$E$2:$U$57,0,MATCH($C53&amp;" [YR"&amp;$C53&amp;"]",02_RAW_DATA!$E$1:$U$1,0)),"&gt;-1E+300")=0,"",SUMIFS(INDEX(02_RAW_DATA!$E$2:$U$57,0,MATCH($C53&amp;" [YR"&amp;$C53&amp;"]",02_RAW_DATA!$E$1:$U$1,0)),02_RAW_DATA!$B$2:$B$57,$B53,02_RAW_DATA!$D$2:$D$57,01_README!$C$31))</f>
        <v>73342373837.7534</v>
      </c>
      <c r="I53" s="10" t="n">
        <f aca="false">IF(COUNTIFS(02_RAW_DATA!$B$2:$B$57,$B53,02_RAW_DATA!$D$2:$D$57,01_README!$C$32,INDEX(02_RAW_DATA!$E$2:$U$57,0,MATCH($C53&amp;" [YR"&amp;$C53&amp;"]",02_RAW_DATA!$E$1:$U$1,0)),"&gt;-1E+300")=0,"",SUMIFS(INDEX(02_RAW_DATA!$E$2:$U$57,0,MATCH($C53&amp;" [YR"&amp;$C53&amp;"]",02_RAW_DATA!$E$1:$U$1,0)),02_RAW_DATA!$B$2:$B$57,$B53,02_RAW_DATA!$D$2:$D$57,01_README!$C$32))</f>
        <v>87262069995.5101</v>
      </c>
      <c r="J53" s="11" t="n">
        <f aca="false">IF(COUNTIFS(02_RAW_DATA!$B$2:$B$57,$B53,02_RAW_DATA!$D$2:$D$57,01_README!$C$33,INDEX(02_RAW_DATA!$E$2:$U$57,0,MATCH($C53&amp;" [YR"&amp;$C53&amp;"]",02_RAW_DATA!$E$1:$U$1,0)),"&gt;-1E+300")=0,"",SUMIFS(INDEX(02_RAW_DATA!$E$2:$U$57,0,MATCH($C53&amp;" [YR"&amp;$C53&amp;"]",02_RAW_DATA!$E$1:$U$1,0)),02_RAW_DATA!$B$2:$B$57,$B53,02_RAW_DATA!$D$2:$D$57,01_README!$C$33))</f>
        <v>92.8790222418488</v>
      </c>
      <c r="K53" s="11" t="n">
        <f aca="false">IF(COUNTIFS(02_RAW_DATA!$B$2:$B$57,$B53,02_RAW_DATA!$D$2:$D$57,01_README!$C$34,INDEX(02_RAW_DATA!$E$2:$U$57,0,MATCH($C53&amp;" [YR"&amp;$C53&amp;"]",02_RAW_DATA!$E$1:$U$1,0)),"&gt;-1E+300")=0,"",SUMIFS(INDEX(02_RAW_DATA!$E$2:$U$57,0,MATCH($C53&amp;" [YR"&amp;$C53&amp;"]",02_RAW_DATA!$E$1:$U$1,0)),02_RAW_DATA!$B$2:$B$57,$B53,02_RAW_DATA!$D$2:$D$57,01_README!$C$34))</f>
        <v>88.0241142496093</v>
      </c>
      <c r="L53" s="11" t="n">
        <f aca="false">IF(COUNTIFS(02_RAW_DATA!$B$2:$B$57,$B53,02_RAW_DATA!$D$2:$D$57,01_README!$C$35,INDEX(02_RAW_DATA!$E$2:$U$57,0,MATCH($C53&amp;" [YR"&amp;$C53&amp;"]",02_RAW_DATA!$E$1:$U$1,0)),"&gt;-1E+300")=0,"",SUMIFS(INDEX(02_RAW_DATA!$E$2:$U$57,0,MATCH($C53&amp;" [YR"&amp;$C53&amp;"]",02_RAW_DATA!$E$1:$U$1,0)),02_RAW_DATA!$B$2:$B$57,$B53,02_RAW_DATA!$D$2:$D$57,01_README!$C$35))</f>
        <v>180.903136491458</v>
      </c>
      <c r="M53" s="10" t="n">
        <f aca="false">IF(COUNTIFS(02_RAW_DATA!$B$2:$B$57,$B53,02_RAW_DATA!$D$2:$D$57,01_README!$C$36,INDEX(02_RAW_DATA!$E$2:$U$57,0,MATCH($C53&amp;" [YR"&amp;$C53&amp;"]",02_RAW_DATA!$E$1:$U$1,0)),"&gt;-1E+300")=0,"",SUMIFS(INDEX(02_RAW_DATA!$E$2:$U$57,0,MATCH($C53&amp;" [YR"&amp;$C53&amp;"]",02_RAW_DATA!$E$1:$U$1,0)),02_RAW_DATA!$B$2:$B$57,$B53,02_RAW_DATA!$D$2:$D$57,01_README!$C$36))</f>
        <v>1003901887.84675</v>
      </c>
      <c r="N53" s="11" t="n">
        <f aca="false">IF(COUNTIFS(02_RAW_DATA!$B$2:$B$57,$B53,02_RAW_DATA!$D$2:$D$57,01_README!$C$37,INDEX(02_RAW_DATA!$E$2:$U$57,0,MATCH($C53&amp;" [YR"&amp;$C53&amp;"]",02_RAW_DATA!$E$1:$U$1,0)),"&gt;-1E+300")=0,"",SUMIFS(INDEX(02_RAW_DATA!$E$2:$U$57,0,MATCH($C53&amp;" [YR"&amp;$C53&amp;"]",02_RAW_DATA!$E$1:$U$1,0)),02_RAW_DATA!$B$2:$B$57,$B53,02_RAW_DATA!$D$2:$D$57,01_README!$C$37))</f>
        <v>1.01266878582834</v>
      </c>
      <c r="O53" s="11" t="n">
        <f aca="false">IF(COUNTIFS(02_RAW_DATA!$B$2:$B$57,$B53,02_RAW_DATA!$D$2:$D$57,01_README!$C$38,INDEX(02_RAW_DATA!$E$2:$U$57,0,MATCH($C53&amp;" [YR"&amp;$C53&amp;"]",02_RAW_DATA!$E$1:$U$1,0)),"&gt;-1E+300")=0,"",SUMIFS(INDEX(02_RAW_DATA!$E$2:$U$57,0,MATCH($C53&amp;" [YR"&amp;$C53&amp;"]",02_RAW_DATA!$E$1:$U$1,0)),02_RAW_DATA!$B$2:$B$57,$B53,02_RAW_DATA!$D$2:$D$57,01_README!$C$38))</f>
        <v>16.6679619490037</v>
      </c>
      <c r="P53" s="11" t="n">
        <f aca="false">IF(COUNTIFS(02_RAW_DATA!$B$2:$B$57,$B53,02_RAW_DATA!$D$2:$D$57,01_README!$C$39,INDEX(02_RAW_DATA!$E$2:$U$57,0,MATCH($C53&amp;" [YR"&amp;$C53&amp;"]",02_RAW_DATA!$E$1:$U$1,0)),"&gt;-1E+300")=0,"",SUMIFS(INDEX(02_RAW_DATA!$E$2:$U$57,0,MATCH($C53&amp;" [YR"&amp;$C53&amp;"]",02_RAW_DATA!$E$1:$U$1,0)),02_RAW_DATA!$B$2:$B$57,$B53,02_RAW_DATA!$D$2:$D$57,01_README!$C$39))</f>
        <v>2.91051144201471</v>
      </c>
      <c r="Q53" s="10" t="n">
        <f aca="false">IF(COUNTIFS(02_RAW_DATA!$B$2:$B$57,$B53,02_RAW_DATA!$D$2:$D$57,01_README!$C$40,INDEX(02_RAW_DATA!$E$2:$U$57,0,MATCH($C53&amp;" [YR"&amp;$C53&amp;"]",02_RAW_DATA!$E$1:$U$1,0)),"&gt;-1E+300")=0,"",SUMIFS(INDEX(02_RAW_DATA!$E$2:$U$57,0,MATCH($C53&amp;" [YR"&amp;$C53&amp;"]",02_RAW_DATA!$E$1:$U$1,0)),02_RAW_DATA!$B$2:$B$57,$B53,02_RAW_DATA!$D$2:$D$57,01_README!$C$40))</f>
        <v>85701000000</v>
      </c>
    </row>
    <row r="54" customFormat="false" ht="15" hidden="false" customHeight="false" outlineLevel="0" collapsed="false">
      <c r="A54" s="8" t="s">
        <v>140</v>
      </c>
      <c r="B54" s="8" t="s">
        <v>134</v>
      </c>
      <c r="C54" s="8" t="n">
        <v>2014</v>
      </c>
      <c r="D54" s="10" t="n">
        <f aca="false">IF(COUNTIFS(02_RAW_DATA!$B$2:$B$57,$B54,02_RAW_DATA!$D$2:$D$57,01_README!$C$27,INDEX(02_RAW_DATA!$E$2:$U$57,0,MATCH($C54&amp;" [YR"&amp;$C54&amp;"]",02_RAW_DATA!$E$1:$U$1,0)),"&gt;-1E+300")=0,"",SUMIFS(INDEX(02_RAW_DATA!$E$2:$U$57,0,MATCH($C54&amp;" [YR"&amp;$C54&amp;"]",02_RAW_DATA!$E$1:$U$1,0)),02_RAW_DATA!$B$2:$B$57,$B54,02_RAW_DATA!$D$2:$D$57,01_README!$C$27))</f>
        <v>101713075598.862</v>
      </c>
      <c r="E54" s="11" t="n">
        <f aca="false">IF(COUNTIFS(02_RAW_DATA!$B$2:$B$57,$B54,02_RAW_DATA!$D$2:$D$57,01_README!$C$28,INDEX(02_RAW_DATA!$E$2:$U$57,0,MATCH($C54&amp;" [YR"&amp;$C54&amp;"]",02_RAW_DATA!$E$1:$U$1,0)),"&gt;-1E+300")=0,"",SUMIFS(INDEX(02_RAW_DATA!$E$2:$U$57,0,MATCH($C54&amp;" [YR"&amp;$C54&amp;"]",02_RAW_DATA!$E$1:$U$1,0)),02_RAW_DATA!$B$2:$B$57,$B54,02_RAW_DATA!$D$2:$D$57,01_README!$C$28))</f>
        <v>2.70795151449488</v>
      </c>
      <c r="F54" s="10" t="n">
        <f aca="false">IF(COUNTIFS(02_RAW_DATA!$B$2:$B$57,$B54,02_RAW_DATA!$D$2:$D$57,01_README!$C$29,INDEX(02_RAW_DATA!$E$2:$U$57,0,MATCH($C54&amp;" [YR"&amp;$C54&amp;"]",02_RAW_DATA!$E$1:$U$1,0)),"&gt;-1E+300")=0,"",SUMIFS(INDEX(02_RAW_DATA!$E$2:$U$57,0,MATCH($C54&amp;" [YR"&amp;$C54&amp;"]",02_RAW_DATA!$E$1:$U$1,0)),02_RAW_DATA!$B$2:$B$57,$B54,02_RAW_DATA!$D$2:$D$57,01_README!$C$29))</f>
        <v>18770.9289896545</v>
      </c>
      <c r="G54" s="10" t="n">
        <f aca="false">IF(COUNTIFS(02_RAW_DATA!$B$2:$B$57,$B54,02_RAW_DATA!$D$2:$D$57,01_README!$C$30,INDEX(02_RAW_DATA!$E$2:$U$57,0,MATCH($C54&amp;" [YR"&amp;$C54&amp;"]",02_RAW_DATA!$E$1:$U$1,0)),"&gt;-1E+300")=0,"",SUMIFS(INDEX(02_RAW_DATA!$E$2:$U$57,0,MATCH($C54&amp;" [YR"&amp;$C54&amp;"]",02_RAW_DATA!$E$1:$U$1,0)),02_RAW_DATA!$B$2:$B$57,$B54,02_RAW_DATA!$D$2:$D$57,01_README!$C$30))</f>
        <v>91989314711.6965</v>
      </c>
      <c r="H54" s="10" t="n">
        <f aca="false">IF(COUNTIFS(02_RAW_DATA!$B$2:$B$57,$B54,02_RAW_DATA!$D$2:$D$57,01_README!$C$31,INDEX(02_RAW_DATA!$E$2:$U$57,0,MATCH($C54&amp;" [YR"&amp;$C54&amp;"]",02_RAW_DATA!$E$1:$U$1,0)),"&gt;-1E+300")=0,"",SUMIFS(INDEX(02_RAW_DATA!$E$2:$U$57,0,MATCH($C54&amp;" [YR"&amp;$C54&amp;"]",02_RAW_DATA!$E$1:$U$1,0)),02_RAW_DATA!$B$2:$B$57,$B54,02_RAW_DATA!$D$2:$D$57,01_README!$C$31))</f>
        <v>75763583670.6877</v>
      </c>
      <c r="I54" s="10" t="n">
        <f aca="false">IF(COUNTIFS(02_RAW_DATA!$B$2:$B$57,$B54,02_RAW_DATA!$D$2:$D$57,01_README!$C$32,INDEX(02_RAW_DATA!$E$2:$U$57,0,MATCH($C54&amp;" [YR"&amp;$C54&amp;"]",02_RAW_DATA!$E$1:$U$1,0)),"&gt;-1E+300")=0,"",SUMIFS(INDEX(02_RAW_DATA!$E$2:$U$57,0,MATCH($C54&amp;" [YR"&amp;$C54&amp;"]",02_RAW_DATA!$E$1:$U$1,0)),02_RAW_DATA!$B$2:$B$57,$B54,02_RAW_DATA!$D$2:$D$57,01_README!$C$32))</f>
        <v>87794970706.9605</v>
      </c>
      <c r="J54" s="11" t="n">
        <f aca="false">IF(COUNTIFS(02_RAW_DATA!$B$2:$B$57,$B54,02_RAW_DATA!$D$2:$D$57,01_README!$C$33,INDEX(02_RAW_DATA!$E$2:$U$57,0,MATCH($C54&amp;" [YR"&amp;$C54&amp;"]",02_RAW_DATA!$E$1:$U$1,0)),"&gt;-1E+300")=0,"",SUMIFS(INDEX(02_RAW_DATA!$E$2:$U$57,0,MATCH($C54&amp;" [YR"&amp;$C54&amp;"]",02_RAW_DATA!$E$1:$U$1,0)),02_RAW_DATA!$B$2:$B$57,$B54,02_RAW_DATA!$D$2:$D$57,01_README!$C$33))</f>
        <v>90.4400089861459</v>
      </c>
      <c r="K54" s="11" t="n">
        <f aca="false">IF(COUNTIFS(02_RAW_DATA!$B$2:$B$57,$B54,02_RAW_DATA!$D$2:$D$57,01_README!$C$34,INDEX(02_RAW_DATA!$E$2:$U$57,0,MATCH($C54&amp;" [YR"&amp;$C54&amp;"]",02_RAW_DATA!$E$1:$U$1,0)),"&gt;-1E+300")=0,"",SUMIFS(INDEX(02_RAW_DATA!$E$2:$U$57,0,MATCH($C54&amp;" [YR"&amp;$C54&amp;"]",02_RAW_DATA!$E$1:$U$1,0)),02_RAW_DATA!$B$2:$B$57,$B54,02_RAW_DATA!$D$2:$D$57,01_README!$C$34))</f>
        <v>86.3163071119859</v>
      </c>
      <c r="L54" s="11" t="n">
        <f aca="false">IF(COUNTIFS(02_RAW_DATA!$B$2:$B$57,$B54,02_RAW_DATA!$D$2:$D$57,01_README!$C$35,INDEX(02_RAW_DATA!$E$2:$U$57,0,MATCH($C54&amp;" [YR"&amp;$C54&amp;"]",02_RAW_DATA!$E$1:$U$1,0)),"&gt;-1E+300")=0,"",SUMIFS(INDEX(02_RAW_DATA!$E$2:$U$57,0,MATCH($C54&amp;" [YR"&amp;$C54&amp;"]",02_RAW_DATA!$E$1:$U$1,0)),02_RAW_DATA!$B$2:$B$57,$B54,02_RAW_DATA!$D$2:$D$57,01_README!$C$35))</f>
        <v>176.756316098132</v>
      </c>
      <c r="M54" s="10" t="n">
        <f aca="false">IF(COUNTIFS(02_RAW_DATA!$B$2:$B$57,$B54,02_RAW_DATA!$D$2:$D$57,01_README!$C$36,INDEX(02_RAW_DATA!$E$2:$U$57,0,MATCH($C54&amp;" [YR"&amp;$C54&amp;"]",02_RAW_DATA!$E$1:$U$1,0)),"&gt;-1E+300")=0,"",SUMIFS(INDEX(02_RAW_DATA!$E$2:$U$57,0,MATCH($C54&amp;" [YR"&amp;$C54&amp;"]",02_RAW_DATA!$E$1:$U$1,0)),02_RAW_DATA!$B$2:$B$57,$B54,02_RAW_DATA!$D$2:$D$57,01_README!$C$36))</f>
        <v>-362915353.373398</v>
      </c>
      <c r="N54" s="11" t="n">
        <f aca="false">IF(COUNTIFS(02_RAW_DATA!$B$2:$B$57,$B54,02_RAW_DATA!$D$2:$D$57,01_README!$C$37,INDEX(02_RAW_DATA!$E$2:$U$57,0,MATCH($C54&amp;" [YR"&amp;$C54&amp;"]",02_RAW_DATA!$E$1:$U$1,0)),"&gt;-1E+300")=0,"",SUMIFS(INDEX(02_RAW_DATA!$E$2:$U$57,0,MATCH($C54&amp;" [YR"&amp;$C54&amp;"]",02_RAW_DATA!$E$1:$U$1,0)),02_RAW_DATA!$B$2:$B$57,$B54,02_RAW_DATA!$D$2:$D$57,01_README!$C$37))</f>
        <v>-0.356803047431846</v>
      </c>
      <c r="O54" s="11" t="n">
        <f aca="false">IF(COUNTIFS(02_RAW_DATA!$B$2:$B$57,$B54,02_RAW_DATA!$D$2:$D$57,01_README!$C$38,INDEX(02_RAW_DATA!$E$2:$U$57,0,MATCH($C54&amp;" [YR"&amp;$C54&amp;"]",02_RAW_DATA!$E$1:$U$1,0)),"&gt;-1E+300")=0,"",SUMIFS(INDEX(02_RAW_DATA!$E$2:$U$57,0,MATCH($C54&amp;" [YR"&amp;$C54&amp;"]",02_RAW_DATA!$E$1:$U$1,0)),02_RAW_DATA!$B$2:$B$57,$B54,02_RAW_DATA!$D$2:$D$57,01_README!$C$38))</f>
        <v>18.5341754362134</v>
      </c>
      <c r="P54" s="11" t="n">
        <f aca="false">IF(COUNTIFS(02_RAW_DATA!$B$2:$B$57,$B54,02_RAW_DATA!$D$2:$D$57,01_README!$C$39,INDEX(02_RAW_DATA!$E$2:$U$57,0,MATCH($C54&amp;" [YR"&amp;$C54&amp;"]",02_RAW_DATA!$E$1:$U$1,0)),"&gt;-1E+300")=0,"",SUMIFS(INDEX(02_RAW_DATA!$E$2:$U$57,0,MATCH($C54&amp;" [YR"&amp;$C54&amp;"]",02_RAW_DATA!$E$1:$U$1,0)),02_RAW_DATA!$B$2:$B$57,$B54,02_RAW_DATA!$D$2:$D$57,01_README!$C$39))</f>
        <v>1.77620820872981</v>
      </c>
      <c r="Q54" s="10" t="n">
        <f aca="false">IF(COUNTIFS(02_RAW_DATA!$B$2:$B$57,$B54,02_RAW_DATA!$D$2:$D$57,01_README!$C$40,INDEX(02_RAW_DATA!$E$2:$U$57,0,MATCH($C54&amp;" [YR"&amp;$C54&amp;"]",02_RAW_DATA!$E$1:$U$1,0)),"&gt;-1E+300")=0,"",SUMIFS(INDEX(02_RAW_DATA!$E$2:$U$57,0,MATCH($C54&amp;" [YR"&amp;$C54&amp;"]",02_RAW_DATA!$E$1:$U$1,0)),02_RAW_DATA!$B$2:$B$57,$B54,02_RAW_DATA!$D$2:$D$57,01_README!$C$40))</f>
        <v>86227000000</v>
      </c>
    </row>
    <row r="55" customFormat="false" ht="15" hidden="false" customHeight="false" outlineLevel="0" collapsed="false">
      <c r="A55" s="8" t="s">
        <v>140</v>
      </c>
      <c r="B55" s="8" t="s">
        <v>134</v>
      </c>
      <c r="C55" s="8" t="n">
        <v>2015</v>
      </c>
      <c r="D55" s="10" t="n">
        <f aca="false">IF(COUNTIFS(02_RAW_DATA!$B$2:$B$57,$B55,02_RAW_DATA!$D$2:$D$57,01_README!$C$27,INDEX(02_RAW_DATA!$E$2:$U$57,0,MATCH($C55&amp;" [YR"&amp;$C55&amp;"]",02_RAW_DATA!$E$1:$U$1,0)),"&gt;-1E+300")=0,"",SUMIFS(INDEX(02_RAW_DATA!$E$2:$U$57,0,MATCH($C55&amp;" [YR"&amp;$C55&amp;"]",02_RAW_DATA!$E$1:$U$1,0)),02_RAW_DATA!$B$2:$B$57,$B55,02_RAW_DATA!$D$2:$D$57,01_README!$C$27))</f>
        <v>89178548717.3324</v>
      </c>
      <c r="E55" s="11" t="n">
        <f aca="false">IF(COUNTIFS(02_RAW_DATA!$B$2:$B$57,$B55,02_RAW_DATA!$D$2:$D$57,01_README!$C$28,INDEX(02_RAW_DATA!$E$2:$U$57,0,MATCH($C55&amp;" [YR"&amp;$C55&amp;"]",02_RAW_DATA!$E$1:$U$1,0)),"&gt;-1E+300")=0,"",SUMIFS(INDEX(02_RAW_DATA!$E$2:$U$57,0,MATCH($C55&amp;" [YR"&amp;$C55&amp;"]",02_RAW_DATA!$E$1:$U$1,0)),02_RAW_DATA!$B$2:$B$57,$B55,02_RAW_DATA!$D$2:$D$57,01_README!$C$28))</f>
        <v>5.17687909722133</v>
      </c>
      <c r="F55" s="10" t="n">
        <f aca="false">IF(COUNTIFS(02_RAW_DATA!$B$2:$B$57,$B55,02_RAW_DATA!$D$2:$D$57,01_README!$C$29,INDEX(02_RAW_DATA!$E$2:$U$57,0,MATCH($C55&amp;" [YR"&amp;$C55&amp;"]",02_RAW_DATA!$E$1:$U$1,0)),"&gt;-1E+300")=0,"",SUMIFS(INDEX(02_RAW_DATA!$E$2:$U$57,0,MATCH($C55&amp;" [YR"&amp;$C55&amp;"]",02_RAW_DATA!$E$1:$U$1,0)),02_RAW_DATA!$B$2:$B$57,$B55,02_RAW_DATA!$D$2:$D$57,01_README!$C$29))</f>
        <v>16442.0760860018</v>
      </c>
      <c r="G55" s="10" t="n">
        <f aca="false">IF(COUNTIFS(02_RAW_DATA!$B$2:$B$57,$B55,02_RAW_DATA!$D$2:$D$57,01_README!$C$30,INDEX(02_RAW_DATA!$E$2:$U$57,0,MATCH($C55&amp;" [YR"&amp;$C55&amp;"]",02_RAW_DATA!$E$1:$U$1,0)),"&gt;-1E+300")=0,"",SUMIFS(INDEX(02_RAW_DATA!$E$2:$U$57,0,MATCH($C55&amp;" [YR"&amp;$C55&amp;"]",02_RAW_DATA!$E$1:$U$1,0)),02_RAW_DATA!$B$2:$B$57,$B55,02_RAW_DATA!$D$2:$D$57,01_README!$C$30))</f>
        <v>80879458866.2308</v>
      </c>
      <c r="H55" s="10" t="n">
        <f aca="false">IF(COUNTIFS(02_RAW_DATA!$B$2:$B$57,$B55,02_RAW_DATA!$D$2:$D$57,01_README!$C$31,INDEX(02_RAW_DATA!$E$2:$U$57,0,MATCH($C55&amp;" [YR"&amp;$C55&amp;"]",02_RAW_DATA!$E$1:$U$1,0)),"&gt;-1E+300")=0,"",SUMIFS(INDEX(02_RAW_DATA!$E$2:$U$57,0,MATCH($C55&amp;" [YR"&amp;$C55&amp;"]",02_RAW_DATA!$E$1:$U$1,0)),02_RAW_DATA!$B$2:$B$57,$B55,02_RAW_DATA!$D$2:$D$57,01_README!$C$31))</f>
        <v>80879458866.2308</v>
      </c>
      <c r="I55" s="10" t="n">
        <f aca="false">IF(COUNTIFS(02_RAW_DATA!$B$2:$B$57,$B55,02_RAW_DATA!$D$2:$D$57,01_README!$C$32,INDEX(02_RAW_DATA!$E$2:$U$57,0,MATCH($C55&amp;" [YR"&amp;$C55&amp;"]",02_RAW_DATA!$E$1:$U$1,0)),"&gt;-1E+300")=0,"",SUMIFS(INDEX(02_RAW_DATA!$E$2:$U$57,0,MATCH($C55&amp;" [YR"&amp;$C55&amp;"]",02_RAW_DATA!$E$1:$U$1,0)),02_RAW_DATA!$B$2:$B$57,$B55,02_RAW_DATA!$D$2:$D$57,01_README!$C$32))</f>
        <v>79130064372.7859</v>
      </c>
      <c r="J55" s="11" t="n">
        <f aca="false">IF(COUNTIFS(02_RAW_DATA!$B$2:$B$57,$B55,02_RAW_DATA!$D$2:$D$57,01_README!$C$33,INDEX(02_RAW_DATA!$E$2:$U$57,0,MATCH($C55&amp;" [YR"&amp;$C55&amp;"]",02_RAW_DATA!$E$1:$U$1,0)),"&gt;-1E+300")=0,"",SUMIFS(INDEX(02_RAW_DATA!$E$2:$U$57,0,MATCH($C55&amp;" [YR"&amp;$C55&amp;"]",02_RAW_DATA!$E$1:$U$1,0)),02_RAW_DATA!$B$2:$B$57,$B55,02_RAW_DATA!$D$2:$D$57,01_README!$C$33))</f>
        <v>90.6938496191421</v>
      </c>
      <c r="K55" s="11" t="n">
        <f aca="false">IF(COUNTIFS(02_RAW_DATA!$B$2:$B$57,$B55,02_RAW_DATA!$D$2:$D$57,01_README!$C$34,INDEX(02_RAW_DATA!$E$2:$U$57,0,MATCH($C55&amp;" [YR"&amp;$C55&amp;"]",02_RAW_DATA!$E$1:$U$1,0)),"&gt;-1E+300")=0,"",SUMIFS(INDEX(02_RAW_DATA!$E$2:$U$57,0,MATCH($C55&amp;" [YR"&amp;$C55&amp;"]",02_RAW_DATA!$E$1:$U$1,0)),02_RAW_DATA!$B$2:$B$57,$B55,02_RAW_DATA!$D$2:$D$57,01_README!$C$34))</f>
        <v>88.7321732758884</v>
      </c>
      <c r="L55" s="11" t="n">
        <f aca="false">IF(COUNTIFS(02_RAW_DATA!$B$2:$B$57,$B55,02_RAW_DATA!$D$2:$D$57,01_README!$C$35,INDEX(02_RAW_DATA!$E$2:$U$57,0,MATCH($C55&amp;" [YR"&amp;$C55&amp;"]",02_RAW_DATA!$E$1:$U$1,0)),"&gt;-1E+300")=0,"",SUMIFS(INDEX(02_RAW_DATA!$E$2:$U$57,0,MATCH($C55&amp;" [YR"&amp;$C55&amp;"]",02_RAW_DATA!$E$1:$U$1,0)),02_RAW_DATA!$B$2:$B$57,$B55,02_RAW_DATA!$D$2:$D$57,01_README!$C$35))</f>
        <v>179.42602289503</v>
      </c>
      <c r="M55" s="10" t="n">
        <f aca="false">IF(COUNTIFS(02_RAW_DATA!$B$2:$B$57,$B55,02_RAW_DATA!$D$2:$D$57,01_README!$C$36,INDEX(02_RAW_DATA!$E$2:$U$57,0,MATCH($C55&amp;" [YR"&amp;$C55&amp;"]",02_RAW_DATA!$E$1:$U$1,0)),"&gt;-1E+300")=0,"",SUMIFS(INDEX(02_RAW_DATA!$E$2:$U$57,0,MATCH($C55&amp;" [YR"&amp;$C55&amp;"]",02_RAW_DATA!$E$1:$U$1,0)),02_RAW_DATA!$B$2:$B$57,$B55,02_RAW_DATA!$D$2:$D$57,01_README!$C$36))</f>
        <v>1520379416.31372</v>
      </c>
      <c r="N55" s="11" t="n">
        <f aca="false">IF(COUNTIFS(02_RAW_DATA!$B$2:$B$57,$B55,02_RAW_DATA!$D$2:$D$57,01_README!$C$37,INDEX(02_RAW_DATA!$E$2:$U$57,0,MATCH($C55&amp;" [YR"&amp;$C55&amp;"]",02_RAW_DATA!$E$1:$U$1,0)),"&gt;-1E+300")=0,"",SUMIFS(INDEX(02_RAW_DATA!$E$2:$U$57,0,MATCH($C55&amp;" [YR"&amp;$C55&amp;"]",02_RAW_DATA!$E$1:$U$1,0)),02_RAW_DATA!$B$2:$B$57,$B55,02_RAW_DATA!$D$2:$D$57,01_README!$C$37))</f>
        <v>1.70487122540291</v>
      </c>
      <c r="O55" s="11" t="n">
        <f aca="false">IF(COUNTIFS(02_RAW_DATA!$B$2:$B$57,$B55,02_RAW_DATA!$D$2:$D$57,01_README!$C$38,INDEX(02_RAW_DATA!$E$2:$U$57,0,MATCH($C55&amp;" [YR"&amp;$C55&amp;"]",02_RAW_DATA!$E$1:$U$1,0)),"&gt;-1E+300")=0,"",SUMIFS(INDEX(02_RAW_DATA!$E$2:$U$57,0,MATCH($C55&amp;" [YR"&amp;$C55&amp;"]",02_RAW_DATA!$E$1:$U$1,0)),02_RAW_DATA!$B$2:$B$57,$B55,02_RAW_DATA!$D$2:$D$57,01_README!$C$38))</f>
        <v>18.8287638047366</v>
      </c>
      <c r="P55" s="11" t="n">
        <f aca="false">IF(COUNTIFS(02_RAW_DATA!$B$2:$B$57,$B55,02_RAW_DATA!$D$2:$D$57,01_README!$C$39,INDEX(02_RAW_DATA!$E$2:$U$57,0,MATCH($C55&amp;" [YR"&amp;$C55&amp;"]",02_RAW_DATA!$E$1:$U$1,0)),"&gt;-1E+300")=0,"",SUMIFS(INDEX(02_RAW_DATA!$E$2:$U$57,0,MATCH($C55&amp;" [YR"&amp;$C55&amp;"]",02_RAW_DATA!$E$1:$U$1,0)),02_RAW_DATA!$B$2:$B$57,$B55,02_RAW_DATA!$D$2:$D$57,01_README!$C$39))</f>
        <v>-2.05103816352739</v>
      </c>
      <c r="Q55" s="10" t="n">
        <f aca="false">IF(COUNTIFS(02_RAW_DATA!$B$2:$B$57,$B55,02_RAW_DATA!$D$2:$D$57,01_README!$C$40,INDEX(02_RAW_DATA!$E$2:$U$57,0,MATCH($C55&amp;" [YR"&amp;$C55&amp;"]",02_RAW_DATA!$E$1:$U$1,0)),"&gt;-1E+300")=0,"",SUMIFS(INDEX(02_RAW_DATA!$E$2:$U$57,0,MATCH($C55&amp;" [YR"&amp;$C55&amp;"]",02_RAW_DATA!$E$1:$U$1,0)),02_RAW_DATA!$B$2:$B$57,$B55,02_RAW_DATA!$D$2:$D$57,01_README!$C$40))</f>
        <v>75146000000</v>
      </c>
    </row>
    <row r="56" customFormat="false" ht="15" hidden="false" customHeight="false" outlineLevel="0" collapsed="false">
      <c r="A56" s="8" t="s">
        <v>140</v>
      </c>
      <c r="B56" s="8" t="s">
        <v>134</v>
      </c>
      <c r="C56" s="8" t="n">
        <v>2016</v>
      </c>
      <c r="D56" s="10" t="n">
        <f aca="false">IF(COUNTIFS(02_RAW_DATA!$B$2:$B$57,$B56,02_RAW_DATA!$D$2:$D$57,01_README!$C$27,INDEX(02_RAW_DATA!$E$2:$U$57,0,MATCH($C56&amp;" [YR"&amp;$C56&amp;"]",02_RAW_DATA!$E$1:$U$1,0)),"&gt;-1E+300")=0,"",SUMIFS(INDEX(02_RAW_DATA!$E$2:$U$57,0,MATCH($C56&amp;" [YR"&amp;$C56&amp;"]",02_RAW_DATA!$E$1:$U$1,0)),02_RAW_DATA!$B$2:$B$57,$B56,02_RAW_DATA!$D$2:$D$57,01_README!$C$27))</f>
        <v>90347173228.6356</v>
      </c>
      <c r="E56" s="11" t="n">
        <f aca="false">IF(COUNTIFS(02_RAW_DATA!$B$2:$B$57,$B56,02_RAW_DATA!$D$2:$D$57,01_README!$C$28,INDEX(02_RAW_DATA!$E$2:$U$57,0,MATCH($C56&amp;" [YR"&amp;$C56&amp;"]",02_RAW_DATA!$E$1:$U$1,0)),"&gt;-1E+300")=0,"",SUMIFS(INDEX(02_RAW_DATA!$E$2:$U$57,0,MATCH($C56&amp;" [YR"&amp;$C56&amp;"]",02_RAW_DATA!$E$1:$U$1,0)),02_RAW_DATA!$B$2:$B$57,$B56,02_RAW_DATA!$D$2:$D$57,01_README!$C$28))</f>
        <v>1.94781841524558</v>
      </c>
      <c r="F56" s="10" t="n">
        <f aca="false">IF(COUNTIFS(02_RAW_DATA!$B$2:$B$57,$B56,02_RAW_DATA!$D$2:$D$57,01_README!$C$29,INDEX(02_RAW_DATA!$E$2:$U$57,0,MATCH($C56&amp;" [YR"&amp;$C56&amp;"]",02_RAW_DATA!$E$1:$U$1,0)),"&gt;-1E+300")=0,"",SUMIFS(INDEX(02_RAW_DATA!$E$2:$U$57,0,MATCH($C56&amp;" [YR"&amp;$C56&amp;"]",02_RAW_DATA!$E$1:$U$1,0)),02_RAW_DATA!$B$2:$B$57,$B56,02_RAW_DATA!$D$2:$D$57,01_README!$C$29))</f>
        <v>16636.0769133073</v>
      </c>
      <c r="G56" s="10" t="n">
        <f aca="false">IF(COUNTIFS(02_RAW_DATA!$B$2:$B$57,$B56,02_RAW_DATA!$D$2:$D$57,01_README!$C$30,INDEX(02_RAW_DATA!$E$2:$U$57,0,MATCH($C56&amp;" [YR"&amp;$C56&amp;"]",02_RAW_DATA!$E$1:$U$1,0)),"&gt;-1E+300")=0,"",SUMIFS(INDEX(02_RAW_DATA!$E$2:$U$57,0,MATCH($C56&amp;" [YR"&amp;$C56&amp;"]",02_RAW_DATA!$E$1:$U$1,0)),02_RAW_DATA!$B$2:$B$57,$B56,02_RAW_DATA!$D$2:$D$57,01_README!$C$30))</f>
        <v>83400999772.7594</v>
      </c>
      <c r="H56" s="10" t="n">
        <f aca="false">IF(COUNTIFS(02_RAW_DATA!$B$2:$B$57,$B56,02_RAW_DATA!$D$2:$D$57,01_README!$C$31,INDEX(02_RAW_DATA!$E$2:$U$57,0,MATCH($C56&amp;" [YR"&amp;$C56&amp;"]",02_RAW_DATA!$E$1:$U$1,0)),"&gt;-1E+300")=0,"",SUMIFS(INDEX(02_RAW_DATA!$E$2:$U$57,0,MATCH($C56&amp;" [YR"&amp;$C56&amp;"]",02_RAW_DATA!$E$1:$U$1,0)),02_RAW_DATA!$B$2:$B$57,$B56,02_RAW_DATA!$D$2:$D$57,01_README!$C$31))</f>
        <v>84844557956.9533</v>
      </c>
      <c r="I56" s="10" t="n">
        <f aca="false">IF(COUNTIFS(02_RAW_DATA!$B$2:$B$57,$B56,02_RAW_DATA!$D$2:$D$57,01_README!$C$32,INDEX(02_RAW_DATA!$E$2:$U$57,0,MATCH($C56&amp;" [YR"&amp;$C56&amp;"]",02_RAW_DATA!$E$1:$U$1,0)),"&gt;-1E+300")=0,"",SUMIFS(INDEX(02_RAW_DATA!$E$2:$U$57,0,MATCH($C56&amp;" [YR"&amp;$C56&amp;"]",02_RAW_DATA!$E$1:$U$1,0)),02_RAW_DATA!$B$2:$B$57,$B56,02_RAW_DATA!$D$2:$D$57,01_README!$C$32))</f>
        <v>81715126559.1352</v>
      </c>
      <c r="J56" s="11" t="n">
        <f aca="false">IF(COUNTIFS(02_RAW_DATA!$B$2:$B$57,$B56,02_RAW_DATA!$D$2:$D$57,01_README!$C$33,INDEX(02_RAW_DATA!$E$2:$U$57,0,MATCH($C56&amp;" [YR"&amp;$C56&amp;"]",02_RAW_DATA!$E$1:$U$1,0)),"&gt;-1E+300")=0,"",SUMIFS(INDEX(02_RAW_DATA!$E$2:$U$57,0,MATCH($C56&amp;" [YR"&amp;$C56&amp;"]",02_RAW_DATA!$E$1:$U$1,0)),02_RAW_DATA!$B$2:$B$57,$B56,02_RAW_DATA!$D$2:$D$57,01_README!$C$33))</f>
        <v>92.3116870095116</v>
      </c>
      <c r="K56" s="11" t="n">
        <f aca="false">IF(COUNTIFS(02_RAW_DATA!$B$2:$B$57,$B56,02_RAW_DATA!$D$2:$D$57,01_README!$C$34,INDEX(02_RAW_DATA!$E$2:$U$57,0,MATCH($C56&amp;" [YR"&amp;$C56&amp;"]",02_RAW_DATA!$E$1:$U$1,0)),"&gt;-1E+300")=0,"",SUMIFS(INDEX(02_RAW_DATA!$E$2:$U$57,0,MATCH($C56&amp;" [YR"&amp;$C56&amp;"]",02_RAW_DATA!$E$1:$U$1,0)),02_RAW_DATA!$B$2:$B$57,$B56,02_RAW_DATA!$D$2:$D$57,01_README!$C$34))</f>
        <v>90.4456925866891</v>
      </c>
      <c r="L56" s="11" t="n">
        <f aca="false">IF(COUNTIFS(02_RAW_DATA!$B$2:$B$57,$B56,02_RAW_DATA!$D$2:$D$57,01_README!$C$35,INDEX(02_RAW_DATA!$E$2:$U$57,0,MATCH($C56&amp;" [YR"&amp;$C56&amp;"]",02_RAW_DATA!$E$1:$U$1,0)),"&gt;-1E+300")=0,"",SUMIFS(INDEX(02_RAW_DATA!$E$2:$U$57,0,MATCH($C56&amp;" [YR"&amp;$C56&amp;"]",02_RAW_DATA!$E$1:$U$1,0)),02_RAW_DATA!$B$2:$B$57,$B56,02_RAW_DATA!$D$2:$D$57,01_README!$C$35))</f>
        <v>182.757379596201</v>
      </c>
      <c r="M56" s="10" t="n">
        <f aca="false">IF(COUNTIFS(02_RAW_DATA!$B$2:$B$57,$B56,02_RAW_DATA!$D$2:$D$57,01_README!$C$36,INDEX(02_RAW_DATA!$E$2:$U$57,0,MATCH($C56&amp;" [YR"&amp;$C56&amp;"]",02_RAW_DATA!$E$1:$U$1,0)),"&gt;-1E+300")=0,"",SUMIFS(INDEX(02_RAW_DATA!$E$2:$U$57,0,MATCH($C56&amp;" [YR"&amp;$C56&amp;"]",02_RAW_DATA!$E$1:$U$1,0)),02_RAW_DATA!$B$2:$B$57,$B56,02_RAW_DATA!$D$2:$D$57,01_README!$C$36))</f>
        <v>4768310586.34163</v>
      </c>
      <c r="N56" s="11" t="n">
        <f aca="false">IF(COUNTIFS(02_RAW_DATA!$B$2:$B$57,$B56,02_RAW_DATA!$D$2:$D$57,01_README!$C$37,INDEX(02_RAW_DATA!$E$2:$U$57,0,MATCH($C56&amp;" [YR"&amp;$C56&amp;"]",02_RAW_DATA!$E$1:$U$1,0)),"&gt;-1E+300")=0,"",SUMIFS(INDEX(02_RAW_DATA!$E$2:$U$57,0,MATCH($C56&amp;" [YR"&amp;$C56&amp;"]",02_RAW_DATA!$E$1:$U$1,0)),02_RAW_DATA!$B$2:$B$57,$B56,02_RAW_DATA!$D$2:$D$57,01_README!$C$37))</f>
        <v>5.27776400294759</v>
      </c>
      <c r="O56" s="11" t="n">
        <f aca="false">IF(COUNTIFS(02_RAW_DATA!$B$2:$B$57,$B56,02_RAW_DATA!$D$2:$D$57,01_README!$C$38,INDEX(02_RAW_DATA!$E$2:$U$57,0,MATCH($C56&amp;" [YR"&amp;$C56&amp;"]",02_RAW_DATA!$E$1:$U$1,0)),"&gt;-1E+300")=0,"",SUMIFS(INDEX(02_RAW_DATA!$E$2:$U$57,0,MATCH($C56&amp;" [YR"&amp;$C56&amp;"]",02_RAW_DATA!$E$1:$U$1,0)),02_RAW_DATA!$B$2:$B$57,$B56,02_RAW_DATA!$D$2:$D$57,01_README!$C$38))</f>
        <v>17.7674522396181</v>
      </c>
      <c r="P56" s="11" t="n">
        <f aca="false">IF(COUNTIFS(02_RAW_DATA!$B$2:$B$57,$B56,02_RAW_DATA!$D$2:$D$57,01_README!$C$39,INDEX(02_RAW_DATA!$E$2:$U$57,0,MATCH($C56&amp;" [YR"&amp;$C56&amp;"]",02_RAW_DATA!$E$1:$U$1,0)),"&gt;-1E+300")=0,"",SUMIFS(INDEX(02_RAW_DATA!$E$2:$U$57,0,MATCH($C56&amp;" [YR"&amp;$C56&amp;"]",02_RAW_DATA!$E$1:$U$1,0)),02_RAW_DATA!$B$2:$B$57,$B56,02_RAW_DATA!$D$2:$D$57,01_README!$C$39))</f>
        <v>-1.41742583384371</v>
      </c>
      <c r="Q56" s="10" t="n">
        <f aca="false">IF(COUNTIFS(02_RAW_DATA!$B$2:$B$57,$B56,02_RAW_DATA!$D$2:$D$57,01_README!$C$40,INDEX(02_RAW_DATA!$E$2:$U$57,0,MATCH($C56&amp;" [YR"&amp;$C56&amp;"]",02_RAW_DATA!$E$1:$U$1,0)),"&gt;-1E+300")=0,"",SUMIFS(INDEX(02_RAW_DATA!$E$2:$U$57,0,MATCH($C56&amp;" [YR"&amp;$C56&amp;"]",02_RAW_DATA!$E$1:$U$1,0)),02_RAW_DATA!$B$2:$B$57,$B56,02_RAW_DATA!$D$2:$D$57,01_README!$C$40))</f>
        <v>77060000000</v>
      </c>
    </row>
    <row r="57" customFormat="false" ht="15" hidden="false" customHeight="false" outlineLevel="0" collapsed="false">
      <c r="A57" s="8" t="s">
        <v>140</v>
      </c>
      <c r="B57" s="8" t="s">
        <v>134</v>
      </c>
      <c r="C57" s="8" t="n">
        <v>2017</v>
      </c>
      <c r="D57" s="10" t="n">
        <f aca="false">IF(COUNTIFS(02_RAW_DATA!$B$2:$B$57,$B57,02_RAW_DATA!$D$2:$D$57,01_README!$C$27,INDEX(02_RAW_DATA!$E$2:$U$57,0,MATCH($C57&amp;" [YR"&amp;$C57&amp;"]",02_RAW_DATA!$E$1:$U$1,0)),"&gt;-1E+300")=0,"",SUMIFS(INDEX(02_RAW_DATA!$E$2:$U$57,0,MATCH($C57&amp;" [YR"&amp;$C57&amp;"]",02_RAW_DATA!$E$1:$U$1,0)),02_RAW_DATA!$B$2:$B$57,$B57,02_RAW_DATA!$D$2:$D$57,01_README!$C$27))</f>
        <v>95978130734.9766</v>
      </c>
      <c r="E57" s="11" t="n">
        <f aca="false">IF(COUNTIFS(02_RAW_DATA!$B$2:$B$57,$B57,02_RAW_DATA!$D$2:$D$57,01_README!$C$28,INDEX(02_RAW_DATA!$E$2:$U$57,0,MATCH($C57&amp;" [YR"&amp;$C57&amp;"]",02_RAW_DATA!$E$1:$U$1,0)),"&gt;-1E+300")=0,"",SUMIFS(INDEX(02_RAW_DATA!$E$2:$U$57,0,MATCH($C57&amp;" [YR"&amp;$C57&amp;"]",02_RAW_DATA!$E$1:$U$1,0)),02_RAW_DATA!$B$2:$B$57,$B57,02_RAW_DATA!$D$2:$D$57,01_README!$C$28))</f>
        <v>2.87473327453695</v>
      </c>
      <c r="F57" s="10" t="n">
        <f aca="false">IF(COUNTIFS(02_RAW_DATA!$B$2:$B$57,$B57,02_RAW_DATA!$D$2:$D$57,01_README!$C$29,INDEX(02_RAW_DATA!$E$2:$U$57,0,MATCH($C57&amp;" [YR"&amp;$C57&amp;"]",02_RAW_DATA!$E$1:$U$1,0)),"&gt;-1E+300")=0,"",SUMIFS(INDEX(02_RAW_DATA!$E$2:$U$57,0,MATCH($C57&amp;" [YR"&amp;$C57&amp;"]",02_RAW_DATA!$E$1:$U$1,0)),02_RAW_DATA!$B$2:$B$57,$B57,02_RAW_DATA!$D$2:$D$57,01_README!$C$29))</f>
        <v>17645.5298716761</v>
      </c>
      <c r="G57" s="10" t="n">
        <f aca="false">IF(COUNTIFS(02_RAW_DATA!$B$2:$B$57,$B57,02_RAW_DATA!$D$2:$D$57,01_README!$C$30,INDEX(02_RAW_DATA!$E$2:$U$57,0,MATCH($C57&amp;" [YR"&amp;$C57&amp;"]",02_RAW_DATA!$E$1:$U$1,0)),"&gt;-1E+300")=0,"",SUMIFS(INDEX(02_RAW_DATA!$E$2:$U$57,0,MATCH($C57&amp;" [YR"&amp;$C57&amp;"]",02_RAW_DATA!$E$1:$U$1,0)),02_RAW_DATA!$B$2:$B$57,$B57,02_RAW_DATA!$D$2:$D$57,01_README!$C$30))</f>
        <v>90173773495.8931</v>
      </c>
      <c r="H57" s="10" t="n">
        <f aca="false">IF(COUNTIFS(02_RAW_DATA!$B$2:$B$57,$B57,02_RAW_DATA!$D$2:$D$57,01_README!$C$31,INDEX(02_RAW_DATA!$E$2:$U$57,0,MATCH($C57&amp;" [YR"&amp;$C57&amp;"]",02_RAW_DATA!$E$1:$U$1,0)),"&gt;-1E+300")=0,"",SUMIFS(INDEX(02_RAW_DATA!$E$2:$U$57,0,MATCH($C57&amp;" [YR"&amp;$C57&amp;"]",02_RAW_DATA!$E$1:$U$1,0)),02_RAW_DATA!$B$2:$B$57,$B57,02_RAW_DATA!$D$2:$D$57,01_README!$C$31))</f>
        <v>87934334955.1299</v>
      </c>
      <c r="I57" s="10" t="n">
        <f aca="false">IF(COUNTIFS(02_RAW_DATA!$B$2:$B$57,$B57,02_RAW_DATA!$D$2:$D$57,01_README!$C$32,INDEX(02_RAW_DATA!$E$2:$U$57,0,MATCH($C57&amp;" [YR"&amp;$C57&amp;"]",02_RAW_DATA!$E$1:$U$1,0)),"&gt;-1E+300")=0,"",SUMIFS(INDEX(02_RAW_DATA!$E$2:$U$57,0,MATCH($C57&amp;" [YR"&amp;$C57&amp;"]",02_RAW_DATA!$E$1:$U$1,0)),02_RAW_DATA!$B$2:$B$57,$B57,02_RAW_DATA!$D$2:$D$57,01_README!$C$32))</f>
        <v>88964308586.3343</v>
      </c>
      <c r="J57" s="11" t="n">
        <f aca="false">IF(COUNTIFS(02_RAW_DATA!$B$2:$B$57,$B57,02_RAW_DATA!$D$2:$D$57,01_README!$C$33,INDEX(02_RAW_DATA!$E$2:$U$57,0,MATCH($C57&amp;" [YR"&amp;$C57&amp;"]",02_RAW_DATA!$E$1:$U$1,0)),"&gt;-1E+300")=0,"",SUMIFS(INDEX(02_RAW_DATA!$E$2:$U$57,0,MATCH($C57&amp;" [YR"&amp;$C57&amp;"]",02_RAW_DATA!$E$1:$U$1,0)),02_RAW_DATA!$B$2:$B$57,$B57,02_RAW_DATA!$D$2:$D$57,01_README!$C$33))</f>
        <v>93.9524168738907</v>
      </c>
      <c r="K57" s="11" t="n">
        <f aca="false">IF(COUNTIFS(02_RAW_DATA!$B$2:$B$57,$B57,02_RAW_DATA!$D$2:$D$57,01_README!$C$34,INDEX(02_RAW_DATA!$E$2:$U$57,0,MATCH($C57&amp;" [YR"&amp;$C57&amp;"]",02_RAW_DATA!$E$1:$U$1,0)),"&gt;-1E+300")=0,"",SUMIFS(INDEX(02_RAW_DATA!$E$2:$U$57,0,MATCH($C57&amp;" [YR"&amp;$C57&amp;"]",02_RAW_DATA!$E$1:$U$1,0)),02_RAW_DATA!$B$2:$B$57,$B57,02_RAW_DATA!$D$2:$D$57,01_README!$C$34))</f>
        <v>92.692270525658</v>
      </c>
      <c r="L57" s="11" t="n">
        <f aca="false">IF(COUNTIFS(02_RAW_DATA!$B$2:$B$57,$B57,02_RAW_DATA!$D$2:$D$57,01_README!$C$35,INDEX(02_RAW_DATA!$E$2:$U$57,0,MATCH($C57&amp;" [YR"&amp;$C57&amp;"]",02_RAW_DATA!$E$1:$U$1,0)),"&gt;-1E+300")=0,"",SUMIFS(INDEX(02_RAW_DATA!$E$2:$U$57,0,MATCH($C57&amp;" [YR"&amp;$C57&amp;"]",02_RAW_DATA!$E$1:$U$1,0)),02_RAW_DATA!$B$2:$B$57,$B57,02_RAW_DATA!$D$2:$D$57,01_README!$C$35))</f>
        <v>186.644687399549</v>
      </c>
      <c r="M57" s="10" t="n">
        <f aca="false">IF(COUNTIFS(02_RAW_DATA!$B$2:$B$57,$B57,02_RAW_DATA!$D$2:$D$57,01_README!$C$36,INDEX(02_RAW_DATA!$E$2:$U$57,0,MATCH($C57&amp;" [YR"&amp;$C57&amp;"]",02_RAW_DATA!$E$1:$U$1,0)),"&gt;-1E+300")=0,"",SUMIFS(INDEX(02_RAW_DATA!$E$2:$U$57,0,MATCH($C57&amp;" [YR"&amp;$C57&amp;"]",02_RAW_DATA!$E$1:$U$1,0)),02_RAW_DATA!$B$2:$B$57,$B57,02_RAW_DATA!$D$2:$D$57,01_README!$C$36))</f>
        <v>4222901967.24692</v>
      </c>
      <c r="N57" s="11" t="n">
        <f aca="false">IF(COUNTIFS(02_RAW_DATA!$B$2:$B$57,$B57,02_RAW_DATA!$D$2:$D$57,01_README!$C$37,INDEX(02_RAW_DATA!$E$2:$U$57,0,MATCH($C57&amp;" [YR"&amp;$C57&amp;"]",02_RAW_DATA!$E$1:$U$1,0)),"&gt;-1E+300")=0,"",SUMIFS(INDEX(02_RAW_DATA!$E$2:$U$57,0,MATCH($C57&amp;" [YR"&amp;$C57&amp;"]",02_RAW_DATA!$E$1:$U$1,0)),02_RAW_DATA!$B$2:$B$57,$B57,02_RAW_DATA!$D$2:$D$57,01_README!$C$37))</f>
        <v>4.39985852496708</v>
      </c>
      <c r="O57" s="11" t="n">
        <f aca="false">IF(COUNTIFS(02_RAW_DATA!$B$2:$B$57,$B57,02_RAW_DATA!$D$2:$D$57,01_README!$C$38,INDEX(02_RAW_DATA!$E$2:$U$57,0,MATCH($C57&amp;" [YR"&amp;$C57&amp;"]",02_RAW_DATA!$E$1:$U$1,0)),"&gt;-1E+300")=0,"",SUMIFS(INDEX(02_RAW_DATA!$E$2:$U$57,0,MATCH($C57&amp;" [YR"&amp;$C57&amp;"]",02_RAW_DATA!$E$1:$U$1,0)),02_RAW_DATA!$B$2:$B$57,$B57,02_RAW_DATA!$D$2:$D$57,01_README!$C$38))</f>
        <v>17.1198654148987</v>
      </c>
      <c r="P57" s="11" t="n">
        <f aca="false">IF(COUNTIFS(02_RAW_DATA!$B$2:$B$57,$B57,02_RAW_DATA!$D$2:$D$57,01_README!$C$39,INDEX(02_RAW_DATA!$E$2:$U$57,0,MATCH($C57&amp;" [YR"&amp;$C57&amp;"]",02_RAW_DATA!$E$1:$U$1,0)),"&gt;-1E+300")=0,"",SUMIFS(INDEX(02_RAW_DATA!$E$2:$U$57,0,MATCH($C57&amp;" [YR"&amp;$C57&amp;"]",02_RAW_DATA!$E$1:$U$1,0)),02_RAW_DATA!$B$2:$B$57,$B57,02_RAW_DATA!$D$2:$D$57,01_README!$C$39))</f>
        <v>-1.71807692688753</v>
      </c>
      <c r="Q57" s="10" t="n">
        <f aca="false">IF(COUNTIFS(02_RAW_DATA!$B$2:$B$57,$B57,02_RAW_DATA!$D$2:$D$57,01_README!$C$40,INDEX(02_RAW_DATA!$E$2:$U$57,0,MATCH($C57&amp;" [YR"&amp;$C57&amp;"]",02_RAW_DATA!$E$1:$U$1,0)),"&gt;-1E+300")=0,"",SUMIFS(INDEX(02_RAW_DATA!$E$2:$U$57,0,MATCH($C57&amp;" [YR"&amp;$C57&amp;"]",02_RAW_DATA!$E$1:$U$1,0)),02_RAW_DATA!$B$2:$B$57,$B57,02_RAW_DATA!$D$2:$D$57,01_README!$C$40))</f>
        <v>83414000000</v>
      </c>
    </row>
    <row r="58" customFormat="false" ht="15" hidden="false" customHeight="false" outlineLevel="0" collapsed="false">
      <c r="A58" s="8" t="s">
        <v>140</v>
      </c>
      <c r="B58" s="8" t="s">
        <v>134</v>
      </c>
      <c r="C58" s="8" t="n">
        <v>2018</v>
      </c>
      <c r="D58" s="10" t="n">
        <f aca="false">IF(COUNTIFS(02_RAW_DATA!$B$2:$B$57,$B58,02_RAW_DATA!$D$2:$D$57,01_README!$C$27,INDEX(02_RAW_DATA!$E$2:$U$57,0,MATCH($C58&amp;" [YR"&amp;$C58&amp;"]",02_RAW_DATA!$E$1:$U$1,0)),"&gt;-1E+300")=0,"",SUMIFS(INDEX(02_RAW_DATA!$E$2:$U$57,0,MATCH($C58&amp;" [YR"&amp;$C58&amp;"]",02_RAW_DATA!$E$1:$U$1,0)),02_RAW_DATA!$B$2:$B$57,$B58,02_RAW_DATA!$D$2:$D$57,01_README!$C$27))</f>
        <v>106611673364.837</v>
      </c>
      <c r="E58" s="11" t="n">
        <f aca="false">IF(COUNTIFS(02_RAW_DATA!$B$2:$B$57,$B58,02_RAW_DATA!$D$2:$D$57,01_README!$C$28,INDEX(02_RAW_DATA!$E$2:$U$57,0,MATCH($C58&amp;" [YR"&amp;$C58&amp;"]",02_RAW_DATA!$E$1:$U$1,0)),"&gt;-1E+300")=0,"",SUMIFS(INDEX(02_RAW_DATA!$E$2:$U$57,0,MATCH($C58&amp;" [YR"&amp;$C58&amp;"]",02_RAW_DATA!$E$1:$U$1,0)),02_RAW_DATA!$B$2:$B$57,$B58,02_RAW_DATA!$D$2:$D$57,01_README!$C$28))</f>
        <v>4.06211981896483</v>
      </c>
      <c r="F58" s="10" t="n">
        <f aca="false">IF(COUNTIFS(02_RAW_DATA!$B$2:$B$57,$B58,02_RAW_DATA!$D$2:$D$57,01_README!$C$29,INDEX(02_RAW_DATA!$E$2:$U$57,0,MATCH($C58&amp;" [YR"&amp;$C58&amp;"]",02_RAW_DATA!$E$1:$U$1,0)),"&gt;-1E+300")=0,"",SUMIFS(INDEX(02_RAW_DATA!$E$2:$U$57,0,MATCH($C58&amp;" [YR"&amp;$C58&amp;"]",02_RAW_DATA!$E$1:$U$1,0)),02_RAW_DATA!$B$2:$B$57,$B58,02_RAW_DATA!$D$2:$D$57,01_README!$C$29))</f>
        <v>19573.3717031314</v>
      </c>
      <c r="G58" s="10" t="n">
        <f aca="false">IF(COUNTIFS(02_RAW_DATA!$B$2:$B$57,$B58,02_RAW_DATA!$D$2:$D$57,01_README!$C$30,INDEX(02_RAW_DATA!$E$2:$U$57,0,MATCH($C58&amp;" [YR"&amp;$C58&amp;"]",02_RAW_DATA!$E$1:$U$1,0)),"&gt;-1E+300")=0,"",SUMIFS(INDEX(02_RAW_DATA!$E$2:$U$57,0,MATCH($C58&amp;" [YR"&amp;$C58&amp;"]",02_RAW_DATA!$E$1:$U$1,0)),02_RAW_DATA!$B$2:$B$57,$B58,02_RAW_DATA!$D$2:$D$57,01_README!$C$30))</f>
        <v>101203084757.884</v>
      </c>
      <c r="H58" s="10" t="n">
        <f aca="false">IF(COUNTIFS(02_RAW_DATA!$B$2:$B$57,$B58,02_RAW_DATA!$D$2:$D$57,01_README!$C$31,INDEX(02_RAW_DATA!$E$2:$U$57,0,MATCH($C58&amp;" [YR"&amp;$C58&amp;"]",02_RAW_DATA!$E$1:$U$1,0)),"&gt;-1E+300")=0,"",SUMIFS(INDEX(02_RAW_DATA!$E$2:$U$57,0,MATCH($C58&amp;" [YR"&amp;$C58&amp;"]",02_RAW_DATA!$E$1:$U$1,0)),02_RAW_DATA!$B$2:$B$57,$B58,02_RAW_DATA!$D$2:$D$57,01_README!$C$31))</f>
        <v>92749992669.2379</v>
      </c>
      <c r="I58" s="10" t="n">
        <f aca="false">IF(COUNTIFS(02_RAW_DATA!$B$2:$B$57,$B58,02_RAW_DATA!$D$2:$D$57,01_README!$C$32,INDEX(02_RAW_DATA!$E$2:$U$57,0,MATCH($C58&amp;" [YR"&amp;$C58&amp;"]",02_RAW_DATA!$E$1:$U$1,0)),"&gt;-1E+300")=0,"",SUMIFS(INDEX(02_RAW_DATA!$E$2:$U$57,0,MATCH($C58&amp;" [YR"&amp;$C58&amp;"]",02_RAW_DATA!$E$1:$U$1,0)),02_RAW_DATA!$B$2:$B$57,$B58,02_RAW_DATA!$D$2:$D$57,01_README!$C$32))</f>
        <v>100008287099.316</v>
      </c>
      <c r="J58" s="11" t="n">
        <f aca="false">IF(COUNTIFS(02_RAW_DATA!$B$2:$B$57,$B58,02_RAW_DATA!$D$2:$D$57,01_README!$C$33,INDEX(02_RAW_DATA!$E$2:$U$57,0,MATCH($C58&amp;" [YR"&amp;$C58&amp;"]",02_RAW_DATA!$E$1:$U$1,0)),"&gt;-1E+300")=0,"",SUMIFS(INDEX(02_RAW_DATA!$E$2:$U$57,0,MATCH($C58&amp;" [YR"&amp;$C58&amp;"]",02_RAW_DATA!$E$1:$U$1,0)),02_RAW_DATA!$B$2:$B$57,$B58,02_RAW_DATA!$D$2:$D$57,01_README!$C$33))</f>
        <v>94.9268326476368</v>
      </c>
      <c r="K58" s="11" t="n">
        <f aca="false">IF(COUNTIFS(02_RAW_DATA!$B$2:$B$57,$B58,02_RAW_DATA!$D$2:$D$57,01_README!$C$34,INDEX(02_RAW_DATA!$E$2:$U$57,0,MATCH($C58&amp;" [YR"&amp;$C58&amp;"]",02_RAW_DATA!$E$1:$U$1,0)),"&gt;-1E+300")=0,"",SUMIFS(INDEX(02_RAW_DATA!$E$2:$U$57,0,MATCH($C58&amp;" [YR"&amp;$C58&amp;"]",02_RAW_DATA!$E$1:$U$1,0)),02_RAW_DATA!$B$2:$B$57,$B58,02_RAW_DATA!$D$2:$D$57,01_README!$C$34))</f>
        <v>93.8061320518596</v>
      </c>
      <c r="L58" s="11" t="n">
        <f aca="false">IF(COUNTIFS(02_RAW_DATA!$B$2:$B$57,$B58,02_RAW_DATA!$D$2:$D$57,01_README!$C$35,INDEX(02_RAW_DATA!$E$2:$U$57,0,MATCH($C58&amp;" [YR"&amp;$C58&amp;"]",02_RAW_DATA!$E$1:$U$1,0)),"&gt;-1E+300")=0,"",SUMIFS(INDEX(02_RAW_DATA!$E$2:$U$57,0,MATCH($C58&amp;" [YR"&amp;$C58&amp;"]",02_RAW_DATA!$E$1:$U$1,0)),02_RAW_DATA!$B$2:$B$57,$B58,02_RAW_DATA!$D$2:$D$57,01_README!$C$35))</f>
        <v>188.732964699496</v>
      </c>
      <c r="M58" s="10" t="n">
        <f aca="false">IF(COUNTIFS(02_RAW_DATA!$B$2:$B$57,$B58,02_RAW_DATA!$D$2:$D$57,01_README!$C$36,INDEX(02_RAW_DATA!$E$2:$U$57,0,MATCH($C58&amp;" [YR"&amp;$C58&amp;"]",02_RAW_DATA!$E$1:$U$1,0)),"&gt;-1E+300")=0,"",SUMIFS(INDEX(02_RAW_DATA!$E$2:$U$57,0,MATCH($C58&amp;" [YR"&amp;$C58&amp;"]",02_RAW_DATA!$E$1:$U$1,0)),02_RAW_DATA!$B$2:$B$57,$B58,02_RAW_DATA!$D$2:$D$57,01_README!$C$36))</f>
        <v>2252337807.34816</v>
      </c>
      <c r="N58" s="11" t="n">
        <f aca="false">IF(COUNTIFS(02_RAW_DATA!$B$2:$B$57,$B58,02_RAW_DATA!$D$2:$D$57,01_README!$C$37,INDEX(02_RAW_DATA!$E$2:$U$57,0,MATCH($C58&amp;" [YR"&amp;$C58&amp;"]",02_RAW_DATA!$E$1:$U$1,0)),"&gt;-1E+300")=0,"",SUMIFS(INDEX(02_RAW_DATA!$E$2:$U$57,0,MATCH($C58&amp;" [YR"&amp;$C58&amp;"]",02_RAW_DATA!$E$1:$U$1,0)),02_RAW_DATA!$B$2:$B$57,$B58,02_RAW_DATA!$D$2:$D$57,01_README!$C$37))</f>
        <v>2.11265589992234</v>
      </c>
      <c r="O58" s="11" t="n">
        <f aca="false">IF(COUNTIFS(02_RAW_DATA!$B$2:$B$57,$B58,02_RAW_DATA!$D$2:$D$57,01_README!$C$38,INDEX(02_RAW_DATA!$E$2:$U$57,0,MATCH($C58&amp;" [YR"&amp;$C58&amp;"]",02_RAW_DATA!$E$1:$U$1,0)),"&gt;-1E+300")=0,"",SUMIFS(INDEX(02_RAW_DATA!$E$2:$U$57,0,MATCH($C58&amp;" [YR"&amp;$C58&amp;"]",02_RAW_DATA!$E$1:$U$1,0)),02_RAW_DATA!$B$2:$B$57,$B58,02_RAW_DATA!$D$2:$D$57,01_README!$C$38))</f>
        <v>18.107047254531</v>
      </c>
      <c r="P58" s="11" t="n">
        <f aca="false">IF(COUNTIFS(02_RAW_DATA!$B$2:$B$57,$B58,02_RAW_DATA!$D$2:$D$57,01_README!$C$39,INDEX(02_RAW_DATA!$E$2:$U$57,0,MATCH($C58&amp;" [YR"&amp;$C58&amp;"]",02_RAW_DATA!$E$1:$U$1,0)),"&gt;-1E+300")=0,"",SUMIFS(INDEX(02_RAW_DATA!$E$2:$U$57,0,MATCH($C58&amp;" [YR"&amp;$C58&amp;"]",02_RAW_DATA!$E$1:$U$1,0)),02_RAW_DATA!$B$2:$B$57,$B58,02_RAW_DATA!$D$2:$D$57,01_README!$C$39))</f>
        <v>-1.59262375291933</v>
      </c>
      <c r="Q58" s="10" t="n">
        <f aca="false">IF(COUNTIFS(02_RAW_DATA!$B$2:$B$57,$B58,02_RAW_DATA!$D$2:$D$57,01_README!$C$40,INDEX(02_RAW_DATA!$E$2:$U$57,0,MATCH($C58&amp;" [YR"&amp;$C58&amp;"]",02_RAW_DATA!$E$1:$U$1,0)),"&gt;-1E+300")=0,"",SUMIFS(INDEX(02_RAW_DATA!$E$2:$U$57,0,MATCH($C58&amp;" [YR"&amp;$C58&amp;"]",02_RAW_DATA!$E$1:$U$1,0)),02_RAW_DATA!$B$2:$B$57,$B58,02_RAW_DATA!$D$2:$D$57,01_README!$C$40))</f>
        <v>93425000000</v>
      </c>
    </row>
    <row r="59" customFormat="false" ht="15" hidden="false" customHeight="false" outlineLevel="0" collapsed="false">
      <c r="A59" s="8" t="s">
        <v>140</v>
      </c>
      <c r="B59" s="8" t="s">
        <v>134</v>
      </c>
      <c r="C59" s="8" t="n">
        <v>2019</v>
      </c>
      <c r="D59" s="10" t="n">
        <f aca="false">IF(COUNTIFS(02_RAW_DATA!$B$2:$B$57,$B59,02_RAW_DATA!$D$2:$D$57,01_README!$C$27,INDEX(02_RAW_DATA!$E$2:$U$57,0,MATCH($C59&amp;" [YR"&amp;$C59&amp;"]",02_RAW_DATA!$E$1:$U$1,0)),"&gt;-1E+300")=0,"",SUMIFS(INDEX(02_RAW_DATA!$E$2:$U$57,0,MATCH($C59&amp;" [YR"&amp;$C59&amp;"]",02_RAW_DATA!$E$1:$U$1,0)),02_RAW_DATA!$B$2:$B$57,$B59,02_RAW_DATA!$D$2:$D$57,01_README!$C$27))</f>
        <v>105843498304.094</v>
      </c>
      <c r="E59" s="11" t="n">
        <f aca="false">IF(COUNTIFS(02_RAW_DATA!$B$2:$B$57,$B59,02_RAW_DATA!$D$2:$D$57,01_README!$C$28,INDEX(02_RAW_DATA!$E$2:$U$57,0,MATCH($C59&amp;" [YR"&amp;$C59&amp;"]",02_RAW_DATA!$E$1:$U$1,0)),"&gt;-1E+300")=0,"",SUMIFS(INDEX(02_RAW_DATA!$E$2:$U$57,0,MATCH($C59&amp;" [YR"&amp;$C59&amp;"]",02_RAW_DATA!$E$1:$U$1,0)),02_RAW_DATA!$B$2:$B$57,$B59,02_RAW_DATA!$D$2:$D$57,01_README!$C$28))</f>
        <v>2.27589910019393</v>
      </c>
      <c r="F59" s="10" t="n">
        <f aca="false">IF(COUNTIFS(02_RAW_DATA!$B$2:$B$57,$B59,02_RAW_DATA!$D$2:$D$57,01_README!$C$29,INDEX(02_RAW_DATA!$E$2:$U$57,0,MATCH($C59&amp;" [YR"&amp;$C59&amp;"]",02_RAW_DATA!$E$1:$U$1,0)),"&gt;-1E+300")=0,"",SUMIFS(INDEX(02_RAW_DATA!$E$2:$U$57,0,MATCH($C59&amp;" [YR"&amp;$C59&amp;"]",02_RAW_DATA!$E$1:$U$1,0)),02_RAW_DATA!$B$2:$B$57,$B59,02_RAW_DATA!$D$2:$D$57,01_README!$C$29))</f>
        <v>19406.0589683582</v>
      </c>
      <c r="G59" s="10" t="n">
        <f aca="false">IF(COUNTIFS(02_RAW_DATA!$B$2:$B$57,$B59,02_RAW_DATA!$D$2:$D$57,01_README!$C$30,INDEX(02_RAW_DATA!$E$2:$U$57,0,MATCH($C59&amp;" [YR"&amp;$C59&amp;"]",02_RAW_DATA!$E$1:$U$1,0)),"&gt;-1E+300")=0,"",SUMIFS(INDEX(02_RAW_DATA!$E$2:$U$57,0,MATCH($C59&amp;" [YR"&amp;$C59&amp;"]",02_RAW_DATA!$E$1:$U$1,0)),02_RAW_DATA!$B$2:$B$57,$B59,02_RAW_DATA!$D$2:$D$57,01_README!$C$30))</f>
        <v>97210994149.8744</v>
      </c>
      <c r="H59" s="10" t="n">
        <f aca="false">IF(COUNTIFS(02_RAW_DATA!$B$2:$B$57,$B59,02_RAW_DATA!$D$2:$D$57,01_README!$C$31,INDEX(02_RAW_DATA!$E$2:$U$57,0,MATCH($C59&amp;" [YR"&amp;$C59&amp;"]",02_RAW_DATA!$E$1:$U$1,0)),"&gt;-1E+300")=0,"",SUMIFS(INDEX(02_RAW_DATA!$E$2:$U$57,0,MATCH($C59&amp;" [YR"&amp;$C59&amp;"]",02_RAW_DATA!$E$1:$U$1,0)),02_RAW_DATA!$B$2:$B$57,$B59,02_RAW_DATA!$D$2:$D$57,01_README!$C$31))</f>
        <v>94008197455.3468</v>
      </c>
      <c r="I59" s="10" t="n">
        <f aca="false">IF(COUNTIFS(02_RAW_DATA!$B$2:$B$57,$B59,02_RAW_DATA!$D$2:$D$57,01_README!$C$32,INDEX(02_RAW_DATA!$E$2:$U$57,0,MATCH($C59&amp;" [YR"&amp;$C59&amp;"]",02_RAW_DATA!$E$1:$U$1,0)),"&gt;-1E+300")=0,"",SUMIFS(INDEX(02_RAW_DATA!$E$2:$U$57,0,MATCH($C59&amp;" [YR"&amp;$C59&amp;"]",02_RAW_DATA!$E$1:$U$1,0)),02_RAW_DATA!$B$2:$B$57,$B59,02_RAW_DATA!$D$2:$D$57,01_README!$C$32))</f>
        <v>97247442000.9646</v>
      </c>
      <c r="J59" s="11" t="n">
        <f aca="false">IF(COUNTIFS(02_RAW_DATA!$B$2:$B$57,$B59,02_RAW_DATA!$D$2:$D$57,01_README!$C$33,INDEX(02_RAW_DATA!$E$2:$U$57,0,MATCH($C59&amp;" [YR"&amp;$C59&amp;"]",02_RAW_DATA!$E$1:$U$1,0)),"&gt;-1E+300")=0,"",SUMIFS(INDEX(02_RAW_DATA!$E$2:$U$57,0,MATCH($C59&amp;" [YR"&amp;$C59&amp;"]",02_RAW_DATA!$E$1:$U$1,0)),02_RAW_DATA!$B$2:$B$57,$B59,02_RAW_DATA!$D$2:$D$57,01_README!$C$33))</f>
        <v>91.8440865121276</v>
      </c>
      <c r="K59" s="11" t="n">
        <f aca="false">IF(COUNTIFS(02_RAW_DATA!$B$2:$B$57,$B59,02_RAW_DATA!$D$2:$D$57,01_README!$C$34,INDEX(02_RAW_DATA!$E$2:$U$57,0,MATCH($C59&amp;" [YR"&amp;$C59&amp;"]",02_RAW_DATA!$E$1:$U$1,0)),"&gt;-1E+300")=0,"",SUMIFS(INDEX(02_RAW_DATA!$E$2:$U$57,0,MATCH($C59&amp;" [YR"&amp;$C59&amp;"]",02_RAW_DATA!$E$1:$U$1,0)),02_RAW_DATA!$B$2:$B$57,$B59,02_RAW_DATA!$D$2:$D$57,01_README!$C$34))</f>
        <v>91.8785221191079</v>
      </c>
      <c r="L59" s="11" t="n">
        <f aca="false">IF(COUNTIFS(02_RAW_DATA!$B$2:$B$57,$B59,02_RAW_DATA!$D$2:$D$57,01_README!$C$35,INDEX(02_RAW_DATA!$E$2:$U$57,0,MATCH($C59&amp;" [YR"&amp;$C59&amp;"]",02_RAW_DATA!$E$1:$U$1,0)),"&gt;-1E+300")=0,"",SUMIFS(INDEX(02_RAW_DATA!$E$2:$U$57,0,MATCH($C59&amp;" [YR"&amp;$C59&amp;"]",02_RAW_DATA!$E$1:$U$1,0)),02_RAW_DATA!$B$2:$B$57,$B59,02_RAW_DATA!$D$2:$D$57,01_README!$C$35))</f>
        <v>183.722608631236</v>
      </c>
      <c r="M59" s="10" t="n">
        <f aca="false">IF(COUNTIFS(02_RAW_DATA!$B$2:$B$57,$B59,02_RAW_DATA!$D$2:$D$57,01_README!$C$36,INDEX(02_RAW_DATA!$E$2:$U$57,0,MATCH($C59&amp;" [YR"&amp;$C59&amp;"]",02_RAW_DATA!$E$1:$U$1,0)),"&gt;-1E+300")=0,"",SUMIFS(INDEX(02_RAW_DATA!$E$2:$U$57,0,MATCH($C59&amp;" [YR"&amp;$C59&amp;"]",02_RAW_DATA!$E$1:$U$1,0)),02_RAW_DATA!$B$2:$B$57,$B59,02_RAW_DATA!$D$2:$D$57,01_README!$C$36))</f>
        <v>2279820543.45752</v>
      </c>
      <c r="N59" s="11" t="n">
        <f aca="false">IF(COUNTIFS(02_RAW_DATA!$B$2:$B$57,$B59,02_RAW_DATA!$D$2:$D$57,01_README!$C$37,INDEX(02_RAW_DATA!$E$2:$U$57,0,MATCH($C59&amp;" [YR"&amp;$C59&amp;"]",02_RAW_DATA!$E$1:$U$1,0)),"&gt;-1E+300")=0,"",SUMIFS(INDEX(02_RAW_DATA!$E$2:$U$57,0,MATCH($C59&amp;" [YR"&amp;$C59&amp;"]",02_RAW_DATA!$E$1:$U$1,0)),02_RAW_DATA!$B$2:$B$57,$B59,02_RAW_DATA!$D$2:$D$57,01_README!$C$37))</f>
        <v>2.15395426264868</v>
      </c>
      <c r="O59" s="11" t="n">
        <f aca="false">IF(COUNTIFS(02_RAW_DATA!$B$2:$B$57,$B59,02_RAW_DATA!$D$2:$D$57,01_README!$C$38,INDEX(02_RAW_DATA!$E$2:$U$57,0,MATCH($C59&amp;" [YR"&amp;$C59&amp;"]",02_RAW_DATA!$E$1:$U$1,0)),"&gt;-1E+300")=0,"",SUMIFS(INDEX(02_RAW_DATA!$E$2:$U$57,0,MATCH($C59&amp;" [YR"&amp;$C59&amp;"]",02_RAW_DATA!$E$1:$U$1,0)),02_RAW_DATA!$B$2:$B$57,$B59,02_RAW_DATA!$D$2:$D$57,01_README!$C$38))</f>
        <v>18.7020217269875</v>
      </c>
      <c r="P59" s="11" t="n">
        <f aca="false">IF(COUNTIFS(02_RAW_DATA!$B$2:$B$57,$B59,02_RAW_DATA!$D$2:$D$57,01_README!$C$39,INDEX(02_RAW_DATA!$E$2:$U$57,0,MATCH($C59&amp;" [YR"&amp;$C59&amp;"]",02_RAW_DATA!$E$1:$U$1,0)),"&gt;-1E+300")=0,"",SUMIFS(INDEX(02_RAW_DATA!$E$2:$U$57,0,MATCH($C59&amp;" [YR"&amp;$C59&amp;"]",02_RAW_DATA!$E$1:$U$1,0)),02_RAW_DATA!$B$2:$B$57,$B59,02_RAW_DATA!$D$2:$D$57,01_README!$C$39))</f>
        <v>-3.51259174873162</v>
      </c>
      <c r="Q59" s="10" t="n">
        <f aca="false">IF(COUNTIFS(02_RAW_DATA!$B$2:$B$57,$B59,02_RAW_DATA!$D$2:$D$57,01_README!$C$40,INDEX(02_RAW_DATA!$E$2:$U$57,0,MATCH($C59&amp;" [YR"&amp;$C59&amp;"]",02_RAW_DATA!$E$1:$U$1,0)),"&gt;-1E+300")=0,"",SUMIFS(INDEX(02_RAW_DATA!$E$2:$U$57,0,MATCH($C59&amp;" [YR"&amp;$C59&amp;"]",02_RAW_DATA!$E$1:$U$1,0)),02_RAW_DATA!$B$2:$B$57,$B59,02_RAW_DATA!$D$2:$D$57,01_README!$C$40))</f>
        <v>89509000000</v>
      </c>
    </row>
    <row r="60" customFormat="false" ht="15" hidden="false" customHeight="false" outlineLevel="0" collapsed="false">
      <c r="A60" s="8" t="s">
        <v>140</v>
      </c>
      <c r="B60" s="8" t="s">
        <v>134</v>
      </c>
      <c r="C60" s="8" t="n">
        <v>2020</v>
      </c>
      <c r="D60" s="10" t="n">
        <f aca="false">IF(COUNTIFS(02_RAW_DATA!$B$2:$B$57,$B60,02_RAW_DATA!$D$2:$D$57,01_README!$C$27,INDEX(02_RAW_DATA!$E$2:$U$57,0,MATCH($C60&amp;" [YR"&amp;$C60&amp;"]",02_RAW_DATA!$E$1:$U$1,0)),"&gt;-1E+300")=0,"",SUMIFS(INDEX(02_RAW_DATA!$E$2:$U$57,0,MATCH($C60&amp;" [YR"&amp;$C60&amp;"]",02_RAW_DATA!$E$1:$U$1,0)),02_RAW_DATA!$B$2:$B$57,$B60,02_RAW_DATA!$D$2:$D$57,01_README!$C$27))</f>
        <v>107732602896.441</v>
      </c>
      <c r="E60" s="11" t="n">
        <f aca="false">IF(COUNTIFS(02_RAW_DATA!$B$2:$B$57,$B60,02_RAW_DATA!$D$2:$D$57,01_README!$C$28,INDEX(02_RAW_DATA!$E$2:$U$57,0,MATCH($C60&amp;" [YR"&amp;$C60&amp;"]",02_RAW_DATA!$E$1:$U$1,0)),"&gt;-1E+300")=0,"",SUMIFS(INDEX(02_RAW_DATA!$E$2:$U$57,0,MATCH($C60&amp;" [YR"&amp;$C60&amp;"]",02_RAW_DATA!$E$1:$U$1,0)),02_RAW_DATA!$B$2:$B$57,$B60,02_RAW_DATA!$D$2:$D$57,01_README!$C$28))</f>
        <v>-2.58551241733207</v>
      </c>
      <c r="F60" s="10" t="n">
        <f aca="false">IF(COUNTIFS(02_RAW_DATA!$B$2:$B$57,$B60,02_RAW_DATA!$D$2:$D$57,01_README!$C$29,INDEX(02_RAW_DATA!$E$2:$U$57,0,MATCH($C60&amp;" [YR"&amp;$C60&amp;"]",02_RAW_DATA!$E$1:$U$1,0)),"&gt;-1E+300")=0,"",SUMIFS(INDEX(02_RAW_DATA!$E$2:$U$57,0,MATCH($C60&amp;" [YR"&amp;$C60&amp;"]",02_RAW_DATA!$E$1:$U$1,0)),02_RAW_DATA!$B$2:$B$57,$B60,02_RAW_DATA!$D$2:$D$57,01_README!$C$29))</f>
        <v>19735.4858280801</v>
      </c>
      <c r="G60" s="10" t="n">
        <f aca="false">IF(COUNTIFS(02_RAW_DATA!$B$2:$B$57,$B60,02_RAW_DATA!$D$2:$D$57,01_README!$C$30,INDEX(02_RAW_DATA!$E$2:$U$57,0,MATCH($C60&amp;" [YR"&amp;$C60&amp;"]",02_RAW_DATA!$E$1:$U$1,0)),"&gt;-1E+300")=0,"",SUMIFS(INDEX(02_RAW_DATA!$E$2:$U$57,0,MATCH($C60&amp;" [YR"&amp;$C60&amp;"]",02_RAW_DATA!$E$1:$U$1,0)),02_RAW_DATA!$B$2:$B$57,$B60,02_RAW_DATA!$D$2:$D$57,01_README!$C$30))</f>
        <v>90816799595.6874</v>
      </c>
      <c r="H60" s="10" t="n">
        <f aca="false">IF(COUNTIFS(02_RAW_DATA!$B$2:$B$57,$B60,02_RAW_DATA!$D$2:$D$57,01_README!$C$31,INDEX(02_RAW_DATA!$E$2:$U$57,0,MATCH($C60&amp;" [YR"&amp;$C60&amp;"]",02_RAW_DATA!$E$1:$U$1,0)),"&gt;-1E+300")=0,"",SUMIFS(INDEX(02_RAW_DATA!$E$2:$U$57,0,MATCH($C60&amp;" [YR"&amp;$C60&amp;"]",02_RAW_DATA!$E$1:$U$1,0)),02_RAW_DATA!$B$2:$B$57,$B60,02_RAW_DATA!$D$2:$D$57,01_README!$C$31))</f>
        <v>88033644593.2565</v>
      </c>
      <c r="I60" s="10" t="n">
        <f aca="false">IF(COUNTIFS(02_RAW_DATA!$B$2:$B$57,$B60,02_RAW_DATA!$D$2:$D$57,01_README!$C$32,INDEX(02_RAW_DATA!$E$2:$U$57,0,MATCH($C60&amp;" [YR"&amp;$C60&amp;"]",02_RAW_DATA!$E$1:$U$1,0)),"&gt;-1E+300")=0,"",SUMIFS(INDEX(02_RAW_DATA!$E$2:$U$57,0,MATCH($C60&amp;" [YR"&amp;$C60&amp;"]",02_RAW_DATA!$E$1:$U$1,0)),02_RAW_DATA!$B$2:$B$57,$B60,02_RAW_DATA!$D$2:$D$57,01_README!$C$32))</f>
        <v>89672126063.3777</v>
      </c>
      <c r="J60" s="11" t="n">
        <f aca="false">IF(COUNTIFS(02_RAW_DATA!$B$2:$B$57,$B60,02_RAW_DATA!$D$2:$D$57,01_README!$C$33,INDEX(02_RAW_DATA!$E$2:$U$57,0,MATCH($C60&amp;" [YR"&amp;$C60&amp;"]",02_RAW_DATA!$E$1:$U$1,0)),"&gt;-1E+300")=0,"",SUMIFS(INDEX(02_RAW_DATA!$E$2:$U$57,0,MATCH($C60&amp;" [YR"&amp;$C60&amp;"]",02_RAW_DATA!$E$1:$U$1,0)),02_RAW_DATA!$B$2:$B$57,$B60,02_RAW_DATA!$D$2:$D$57,01_README!$C$33))</f>
        <v>84.2983434485345</v>
      </c>
      <c r="K60" s="11" t="n">
        <f aca="false">IF(COUNTIFS(02_RAW_DATA!$B$2:$B$57,$B60,02_RAW_DATA!$D$2:$D$57,01_README!$C$34,INDEX(02_RAW_DATA!$E$2:$U$57,0,MATCH($C60&amp;" [YR"&amp;$C60&amp;"]",02_RAW_DATA!$E$1:$U$1,0)),"&gt;-1E+300")=0,"",SUMIFS(INDEX(02_RAW_DATA!$E$2:$U$57,0,MATCH($C60&amp;" [YR"&amp;$C60&amp;"]",02_RAW_DATA!$E$1:$U$1,0)),02_RAW_DATA!$B$2:$B$57,$B60,02_RAW_DATA!$D$2:$D$57,01_README!$C$34))</f>
        <v>83.2358298718319</v>
      </c>
      <c r="L60" s="11" t="n">
        <f aca="false">IF(COUNTIFS(02_RAW_DATA!$B$2:$B$57,$B60,02_RAW_DATA!$D$2:$D$57,01_README!$C$35,INDEX(02_RAW_DATA!$E$2:$U$57,0,MATCH($C60&amp;" [YR"&amp;$C60&amp;"]",02_RAW_DATA!$E$1:$U$1,0)),"&gt;-1E+300")=0,"",SUMIFS(INDEX(02_RAW_DATA!$E$2:$U$57,0,MATCH($C60&amp;" [YR"&amp;$C60&amp;"]",02_RAW_DATA!$E$1:$U$1,0)),02_RAW_DATA!$B$2:$B$57,$B60,02_RAW_DATA!$D$2:$D$57,01_README!$C$35))</f>
        <v>167.534173320366</v>
      </c>
      <c r="M60" s="10" t="n">
        <f aca="false">IF(COUNTIFS(02_RAW_DATA!$B$2:$B$57,$B60,02_RAW_DATA!$D$2:$D$57,01_README!$C$36,INDEX(02_RAW_DATA!$E$2:$U$57,0,MATCH($C60&amp;" [YR"&amp;$C60&amp;"]",02_RAW_DATA!$E$1:$U$1,0)),"&gt;-1E+300")=0,"",SUMIFS(INDEX(02_RAW_DATA!$E$2:$U$57,0,MATCH($C60&amp;" [YR"&amp;$C60&amp;"]",02_RAW_DATA!$E$1:$U$1,0)),02_RAW_DATA!$B$2:$B$57,$B60,02_RAW_DATA!$D$2:$D$57,01_README!$C$36))</f>
        <v>-1141695531.7079</v>
      </c>
      <c r="N60" s="11" t="n">
        <f aca="false">IF(COUNTIFS(02_RAW_DATA!$B$2:$B$57,$B60,02_RAW_DATA!$D$2:$D$57,01_README!$C$37,INDEX(02_RAW_DATA!$E$2:$U$57,0,MATCH($C60&amp;" [YR"&amp;$C60&amp;"]",02_RAW_DATA!$E$1:$U$1,0)),"&gt;-1E+300")=0,"",SUMIFS(INDEX(02_RAW_DATA!$E$2:$U$57,0,MATCH($C60&amp;" [YR"&amp;$C60&amp;"]",02_RAW_DATA!$E$1:$U$1,0)),02_RAW_DATA!$B$2:$B$57,$B60,02_RAW_DATA!$D$2:$D$57,01_README!$C$37))</f>
        <v>-1.0597493247289</v>
      </c>
      <c r="O60" s="11" t="n">
        <f aca="false">IF(COUNTIFS(02_RAW_DATA!$B$2:$B$57,$B60,02_RAW_DATA!$D$2:$D$57,01_README!$C$38,INDEX(02_RAW_DATA!$E$2:$U$57,0,MATCH($C60&amp;" [YR"&amp;$C60&amp;"]",02_RAW_DATA!$E$1:$U$1,0)),"&gt;-1E+300")=0,"",SUMIFS(INDEX(02_RAW_DATA!$E$2:$U$57,0,MATCH($C60&amp;" [YR"&amp;$C60&amp;"]",02_RAW_DATA!$E$1:$U$1,0)),02_RAW_DATA!$B$2:$B$57,$B60,02_RAW_DATA!$D$2:$D$57,01_README!$C$38))</f>
        <v>17.5406369148503</v>
      </c>
      <c r="P60" s="11" t="n">
        <f aca="false">IF(COUNTIFS(02_RAW_DATA!$B$2:$B$57,$B60,02_RAW_DATA!$D$2:$D$57,01_README!$C$39,INDEX(02_RAW_DATA!$E$2:$U$57,0,MATCH($C60&amp;" [YR"&amp;$C60&amp;"]",02_RAW_DATA!$E$1:$U$1,0)),"&gt;-1E+300")=0,"",SUMIFS(INDEX(02_RAW_DATA!$E$2:$U$57,0,MATCH($C60&amp;" [YR"&amp;$C60&amp;"]",02_RAW_DATA!$E$1:$U$1,0)),02_RAW_DATA!$B$2:$B$57,$B60,02_RAW_DATA!$D$2:$D$57,01_README!$C$39))</f>
        <v>-0.437071238574067</v>
      </c>
      <c r="Q60" s="10" t="n">
        <f aca="false">IF(COUNTIFS(02_RAW_DATA!$B$2:$B$57,$B60,02_RAW_DATA!$D$2:$D$57,01_README!$C$40,INDEX(02_RAW_DATA!$E$2:$U$57,0,MATCH($C60&amp;" [YR"&amp;$C60&amp;"]",02_RAW_DATA!$E$1:$U$1,0)),"&gt;-1E+300")=0,"",SUMIFS(INDEX(02_RAW_DATA!$E$2:$U$57,0,MATCH($C60&amp;" [YR"&amp;$C60&amp;"]",02_RAW_DATA!$E$1:$U$1,0)),02_RAW_DATA!$B$2:$B$57,$B60,02_RAW_DATA!$D$2:$D$57,01_README!$C$40))</f>
        <v>86640000000</v>
      </c>
    </row>
    <row r="61" customFormat="false" ht="15" hidden="false" customHeight="false" outlineLevel="0" collapsed="false">
      <c r="A61" s="8" t="s">
        <v>140</v>
      </c>
      <c r="B61" s="8" t="s">
        <v>134</v>
      </c>
      <c r="C61" s="8" t="n">
        <v>2021</v>
      </c>
      <c r="D61" s="10" t="n">
        <f aca="false">IF(COUNTIFS(02_RAW_DATA!$B$2:$B$57,$B61,02_RAW_DATA!$D$2:$D$57,01_README!$C$27,INDEX(02_RAW_DATA!$E$2:$U$57,0,MATCH($C61&amp;" [YR"&amp;$C61&amp;"]",02_RAW_DATA!$E$1:$U$1,0)),"&gt;-1E+300")=0,"",SUMIFS(INDEX(02_RAW_DATA!$E$2:$U$57,0,MATCH($C61&amp;" [YR"&amp;$C61&amp;"]",02_RAW_DATA!$E$1:$U$1,0)),02_RAW_DATA!$B$2:$B$57,$B61,02_RAW_DATA!$D$2:$D$57,01_README!$C$27))</f>
        <v>120511265913.343</v>
      </c>
      <c r="E61" s="11" t="n">
        <f aca="false">IF(COUNTIFS(02_RAW_DATA!$B$2:$B$57,$B61,02_RAW_DATA!$D$2:$D$57,01_README!$C$28,INDEX(02_RAW_DATA!$E$2:$U$57,0,MATCH($C61&amp;" [YR"&amp;$C61&amp;"]",02_RAW_DATA!$E$1:$U$1,0)),"&gt;-1E+300")=0,"",SUMIFS(INDEX(02_RAW_DATA!$E$2:$U$57,0,MATCH($C61&amp;" [YR"&amp;$C61&amp;"]",02_RAW_DATA!$E$1:$U$1,0)),02_RAW_DATA!$B$2:$B$57,$B61,02_RAW_DATA!$D$2:$D$57,01_README!$C$28))</f>
        <v>5.6558588065555</v>
      </c>
      <c r="F61" s="10" t="n">
        <f aca="false">IF(COUNTIFS(02_RAW_DATA!$B$2:$B$57,$B61,02_RAW_DATA!$D$2:$D$57,01_README!$C$29,INDEX(02_RAW_DATA!$E$2:$U$57,0,MATCH($C61&amp;" [YR"&amp;$C61&amp;"]",02_RAW_DATA!$E$1:$U$1,0)),"&gt;-1E+300")=0,"",SUMIFS(INDEX(02_RAW_DATA!$E$2:$U$57,0,MATCH($C61&amp;" [YR"&amp;$C61&amp;"]",02_RAW_DATA!$E$1:$U$1,0)),02_RAW_DATA!$B$2:$B$57,$B61,02_RAW_DATA!$D$2:$D$57,01_README!$C$29))</f>
        <v>22123.3342114545</v>
      </c>
      <c r="G61" s="10" t="n">
        <f aca="false">IF(COUNTIFS(02_RAW_DATA!$B$2:$B$57,$B61,02_RAW_DATA!$D$2:$D$57,01_README!$C$30,INDEX(02_RAW_DATA!$E$2:$U$57,0,MATCH($C61&amp;" [YR"&amp;$C61&amp;"]",02_RAW_DATA!$E$1:$U$1,0)),"&gt;-1E+300")=0,"",SUMIFS(INDEX(02_RAW_DATA!$E$2:$U$57,0,MATCH($C61&amp;" [YR"&amp;$C61&amp;"]",02_RAW_DATA!$E$1:$U$1,0)),02_RAW_DATA!$B$2:$B$57,$B61,02_RAW_DATA!$D$2:$D$57,01_README!$C$30))</f>
        <v>109378268572.459</v>
      </c>
      <c r="H61" s="10" t="n">
        <f aca="false">IF(COUNTIFS(02_RAW_DATA!$B$2:$B$57,$B61,02_RAW_DATA!$D$2:$D$57,01_README!$C$31,INDEX(02_RAW_DATA!$E$2:$U$57,0,MATCH($C61&amp;" [YR"&amp;$C61&amp;"]",02_RAW_DATA!$E$1:$U$1,0)),"&gt;-1E+300")=0,"",SUMIFS(INDEX(02_RAW_DATA!$E$2:$U$57,0,MATCH($C61&amp;" [YR"&amp;$C61&amp;"]",02_RAW_DATA!$E$1:$U$1,0)),02_RAW_DATA!$B$2:$B$57,$B61,02_RAW_DATA!$D$2:$D$57,01_README!$C$31))</f>
        <v>97418966189.2667</v>
      </c>
      <c r="I61" s="10" t="n">
        <f aca="false">IF(COUNTIFS(02_RAW_DATA!$B$2:$B$57,$B61,02_RAW_DATA!$D$2:$D$57,01_README!$C$32,INDEX(02_RAW_DATA!$E$2:$U$57,0,MATCH($C61&amp;" [YR"&amp;$C61&amp;"]",02_RAW_DATA!$E$1:$U$1,0)),"&gt;-1E+300")=0,"",SUMIFS(INDEX(02_RAW_DATA!$E$2:$U$57,0,MATCH($C61&amp;" [YR"&amp;$C61&amp;"]",02_RAW_DATA!$E$1:$U$1,0)),02_RAW_DATA!$B$2:$B$57,$B61,02_RAW_DATA!$D$2:$D$57,01_README!$C$32))</f>
        <v>109927511883.134</v>
      </c>
      <c r="J61" s="11" t="n">
        <f aca="false">IF(COUNTIFS(02_RAW_DATA!$B$2:$B$57,$B61,02_RAW_DATA!$D$2:$D$57,01_README!$C$33,INDEX(02_RAW_DATA!$E$2:$U$57,0,MATCH($C61&amp;" [YR"&amp;$C61&amp;"]",02_RAW_DATA!$E$1:$U$1,0)),"&gt;-1E+300")=0,"",SUMIFS(INDEX(02_RAW_DATA!$E$2:$U$57,0,MATCH($C61&amp;" [YR"&amp;$C61&amp;"]",02_RAW_DATA!$E$1:$U$1,0)),02_RAW_DATA!$B$2:$B$57,$B61,02_RAW_DATA!$D$2:$D$57,01_README!$C$33))</f>
        <v>90.7618617591412</v>
      </c>
      <c r="K61" s="11" t="n">
        <f aca="false">IF(COUNTIFS(02_RAW_DATA!$B$2:$B$57,$B61,02_RAW_DATA!$D$2:$D$57,01_README!$C$34,INDEX(02_RAW_DATA!$E$2:$U$57,0,MATCH($C61&amp;" [YR"&amp;$C61&amp;"]",02_RAW_DATA!$E$1:$U$1,0)),"&gt;-1E+300")=0,"",SUMIFS(INDEX(02_RAW_DATA!$E$2:$U$57,0,MATCH($C61&amp;" [YR"&amp;$C61&amp;"]",02_RAW_DATA!$E$1:$U$1,0)),02_RAW_DATA!$B$2:$B$57,$B61,02_RAW_DATA!$D$2:$D$57,01_README!$C$34))</f>
        <v>91.2176227259784</v>
      </c>
      <c r="L61" s="11" t="n">
        <f aca="false">IF(COUNTIFS(02_RAW_DATA!$B$2:$B$57,$B61,02_RAW_DATA!$D$2:$D$57,01_README!$C$35,INDEX(02_RAW_DATA!$E$2:$U$57,0,MATCH($C61&amp;" [YR"&amp;$C61&amp;"]",02_RAW_DATA!$E$1:$U$1,0)),"&gt;-1E+300")=0,"",SUMIFS(INDEX(02_RAW_DATA!$E$2:$U$57,0,MATCH($C61&amp;" [YR"&amp;$C61&amp;"]",02_RAW_DATA!$E$1:$U$1,0)),02_RAW_DATA!$B$2:$B$57,$B61,02_RAW_DATA!$D$2:$D$57,01_README!$C$35))</f>
        <v>181.97948448512</v>
      </c>
      <c r="M61" s="10" t="n">
        <f aca="false">IF(COUNTIFS(02_RAW_DATA!$B$2:$B$57,$B61,02_RAW_DATA!$D$2:$D$57,01_README!$C$36,INDEX(02_RAW_DATA!$E$2:$U$57,0,MATCH($C61&amp;" [YR"&amp;$C61&amp;"]",02_RAW_DATA!$E$1:$U$1,0)),"&gt;-1E+300")=0,"",SUMIFS(INDEX(02_RAW_DATA!$E$2:$U$57,0,MATCH($C61&amp;" [YR"&amp;$C61&amp;"]",02_RAW_DATA!$E$1:$U$1,0)),02_RAW_DATA!$B$2:$B$57,$B61,02_RAW_DATA!$D$2:$D$57,01_README!$C$36))</f>
        <v>2719785158.15888</v>
      </c>
      <c r="N61" s="11" t="n">
        <f aca="false">IF(COUNTIFS(02_RAW_DATA!$B$2:$B$57,$B61,02_RAW_DATA!$D$2:$D$57,01_README!$C$37,INDEX(02_RAW_DATA!$E$2:$U$57,0,MATCH($C61&amp;" [YR"&amp;$C61&amp;"]",02_RAW_DATA!$E$1:$U$1,0)),"&gt;-1E+300")=0,"",SUMIFS(INDEX(02_RAW_DATA!$E$2:$U$57,0,MATCH($C61&amp;" [YR"&amp;$C61&amp;"]",02_RAW_DATA!$E$1:$U$1,0)),02_RAW_DATA!$B$2:$B$57,$B61,02_RAW_DATA!$D$2:$D$57,01_README!$C$37))</f>
        <v>2.25687211693106</v>
      </c>
      <c r="O61" s="11" t="n">
        <f aca="false">IF(COUNTIFS(02_RAW_DATA!$B$2:$B$57,$B61,02_RAW_DATA!$D$2:$D$57,01_README!$C$38,INDEX(02_RAW_DATA!$E$2:$U$57,0,MATCH($C61&amp;" [YR"&amp;$C61&amp;"]",02_RAW_DATA!$E$1:$U$1,0)),"&gt;-1E+300")=0,"",SUMIFS(INDEX(02_RAW_DATA!$E$2:$U$57,0,MATCH($C61&amp;" [YR"&amp;$C61&amp;"]",02_RAW_DATA!$E$1:$U$1,0)),02_RAW_DATA!$B$2:$B$57,$B61,02_RAW_DATA!$D$2:$D$57,01_README!$C$38))</f>
        <v>16.6273511795662</v>
      </c>
      <c r="P61" s="11" t="n">
        <f aca="false">IF(COUNTIFS(02_RAW_DATA!$B$2:$B$57,$B61,02_RAW_DATA!$D$2:$D$57,01_README!$C$39,INDEX(02_RAW_DATA!$E$2:$U$57,0,MATCH($C61&amp;" [YR"&amp;$C61&amp;"]",02_RAW_DATA!$E$1:$U$1,0)),"&gt;-1E+300")=0,"",SUMIFS(INDEX(02_RAW_DATA!$E$2:$U$57,0,MATCH($C61&amp;" [YR"&amp;$C61&amp;"]",02_RAW_DATA!$E$1:$U$1,0)),02_RAW_DATA!$B$2:$B$57,$B61,02_RAW_DATA!$D$2:$D$57,01_README!$C$39))</f>
        <v>-4.79283646505897</v>
      </c>
      <c r="Q61" s="10" t="n">
        <f aca="false">IF(COUNTIFS(02_RAW_DATA!$B$2:$B$57,$B61,02_RAW_DATA!$D$2:$D$57,01_README!$C$40,INDEX(02_RAW_DATA!$E$2:$U$57,0,MATCH($C61&amp;" [YR"&amp;$C61&amp;"]",02_RAW_DATA!$E$1:$U$1,0)),"&gt;-1E+300")=0,"",SUMIFS(INDEX(02_RAW_DATA!$E$2:$U$57,0,MATCH($C61&amp;" [YR"&amp;$C61&amp;"]",02_RAW_DATA!$E$1:$U$1,0)),02_RAW_DATA!$B$2:$B$57,$B61,02_RAW_DATA!$D$2:$D$57,01_README!$C$40))</f>
        <v>103891000000</v>
      </c>
    </row>
    <row r="62" customFormat="false" ht="15" hidden="false" customHeight="false" outlineLevel="0" collapsed="false">
      <c r="A62" s="8" t="s">
        <v>140</v>
      </c>
      <c r="B62" s="8" t="s">
        <v>134</v>
      </c>
      <c r="C62" s="8" t="n">
        <v>2022</v>
      </c>
      <c r="D62" s="10" t="n">
        <f aca="false">IF(COUNTIFS(02_RAW_DATA!$B$2:$B$57,$B62,02_RAW_DATA!$D$2:$D$57,01_README!$C$27,INDEX(02_RAW_DATA!$E$2:$U$57,0,MATCH($C62&amp;" [YR"&amp;$C62&amp;"]",02_RAW_DATA!$E$1:$U$1,0)),"&gt;-1E+300")=0,"",SUMIFS(INDEX(02_RAW_DATA!$E$2:$U$57,0,MATCH($C62&amp;" [YR"&amp;$C62&amp;"]",02_RAW_DATA!$E$1:$U$1,0)),02_RAW_DATA!$B$2:$B$57,$B62,02_RAW_DATA!$D$2:$D$57,01_README!$C$27))</f>
        <v>115792972358.209</v>
      </c>
      <c r="E62" s="11" t="n">
        <f aca="false">IF(COUNTIFS(02_RAW_DATA!$B$2:$B$57,$B62,02_RAW_DATA!$D$2:$D$57,01_README!$C$28,INDEX(02_RAW_DATA!$E$2:$U$57,0,MATCH($C62&amp;" [YR"&amp;$C62&amp;"]",02_RAW_DATA!$E$1:$U$1,0)),"&gt;-1E+300")=0,"",SUMIFS(INDEX(02_RAW_DATA!$E$2:$U$57,0,MATCH($C62&amp;" [YR"&amp;$C62&amp;"]",02_RAW_DATA!$E$1:$U$1,0)),02_RAW_DATA!$B$2:$B$57,$B62,02_RAW_DATA!$D$2:$D$57,01_README!$C$28))</f>
        <v>0.544591632137454</v>
      </c>
      <c r="F62" s="10" t="n">
        <f aca="false">IF(COUNTIFS(02_RAW_DATA!$B$2:$B$57,$B62,02_RAW_DATA!$D$2:$D$57,01_README!$C$29,INDEX(02_RAW_DATA!$E$2:$U$57,0,MATCH($C62&amp;" [YR"&amp;$C62&amp;"]",02_RAW_DATA!$E$1:$U$1,0)),"&gt;-1E+300")=0,"",SUMIFS(INDEX(02_RAW_DATA!$E$2:$U$57,0,MATCH($C62&amp;" [YR"&amp;$C62&amp;"]",02_RAW_DATA!$E$1:$U$1,0)),02_RAW_DATA!$B$2:$B$57,$B62,02_RAW_DATA!$D$2:$D$57,01_README!$C$29))</f>
        <v>21317.7943982363</v>
      </c>
      <c r="G62" s="10" t="n">
        <f aca="false">IF(COUNTIFS(02_RAW_DATA!$B$2:$B$57,$B62,02_RAW_DATA!$D$2:$D$57,01_README!$C$30,INDEX(02_RAW_DATA!$E$2:$U$57,0,MATCH($C62&amp;" [YR"&amp;$C62&amp;"]",02_RAW_DATA!$E$1:$U$1,0)),"&gt;-1E+300")=0,"",SUMIFS(INDEX(02_RAW_DATA!$E$2:$U$57,0,MATCH($C62&amp;" [YR"&amp;$C62&amp;"]",02_RAW_DATA!$E$1:$U$1,0)),02_RAW_DATA!$B$2:$B$57,$B62,02_RAW_DATA!$D$2:$D$57,01_README!$C$30))</f>
        <v>114713195239.543</v>
      </c>
      <c r="H62" s="10" t="n">
        <f aca="false">IF(COUNTIFS(02_RAW_DATA!$B$2:$B$57,$B62,02_RAW_DATA!$D$2:$D$57,01_README!$C$31,INDEX(02_RAW_DATA!$E$2:$U$57,0,MATCH($C62&amp;" [YR"&amp;$C62&amp;"]",02_RAW_DATA!$E$1:$U$1,0)),"&gt;-1E+300")=0,"",SUMIFS(INDEX(02_RAW_DATA!$E$2:$U$57,0,MATCH($C62&amp;" [YR"&amp;$C62&amp;"]",02_RAW_DATA!$E$1:$U$1,0)),02_RAW_DATA!$B$2:$B$57,$B62,02_RAW_DATA!$D$2:$D$57,01_README!$C$31))</f>
        <v>100116255598.281</v>
      </c>
      <c r="I62" s="10" t="n">
        <f aca="false">IF(COUNTIFS(02_RAW_DATA!$B$2:$B$57,$B62,02_RAW_DATA!$D$2:$D$57,01_README!$C$32,INDEX(02_RAW_DATA!$E$2:$U$57,0,MATCH($C62&amp;" [YR"&amp;$C62&amp;"]",02_RAW_DATA!$E$1:$U$1,0)),"&gt;-1E+300")=0,"",SUMIFS(INDEX(02_RAW_DATA!$E$2:$U$57,0,MATCH($C62&amp;" [YR"&amp;$C62&amp;"]",02_RAW_DATA!$E$1:$U$1,0)),02_RAW_DATA!$B$2:$B$57,$B62,02_RAW_DATA!$D$2:$D$57,01_README!$C$32))</f>
        <v>121569681272.411</v>
      </c>
      <c r="J62" s="11" t="n">
        <f aca="false">IF(COUNTIFS(02_RAW_DATA!$B$2:$B$57,$B62,02_RAW_DATA!$D$2:$D$57,01_README!$C$33,INDEX(02_RAW_DATA!$E$2:$U$57,0,MATCH($C62&amp;" [YR"&amp;$C62&amp;"]",02_RAW_DATA!$E$1:$U$1,0)),"&gt;-1E+300")=0,"",SUMIFS(INDEX(02_RAW_DATA!$E$2:$U$57,0,MATCH($C62&amp;" [YR"&amp;$C62&amp;"]",02_RAW_DATA!$E$1:$U$1,0)),02_RAW_DATA!$B$2:$B$57,$B62,02_RAW_DATA!$D$2:$D$57,01_README!$C$33))</f>
        <v>99.0674933921507</v>
      </c>
      <c r="K62" s="11" t="n">
        <f aca="false">IF(COUNTIFS(02_RAW_DATA!$B$2:$B$57,$B62,02_RAW_DATA!$D$2:$D$57,01_README!$C$34,INDEX(02_RAW_DATA!$E$2:$U$57,0,MATCH($C62&amp;" [YR"&amp;$C62&amp;"]",02_RAW_DATA!$E$1:$U$1,0)),"&gt;-1E+300")=0,"",SUMIFS(INDEX(02_RAW_DATA!$E$2:$U$57,0,MATCH($C62&amp;" [YR"&amp;$C62&amp;"]",02_RAW_DATA!$E$1:$U$1,0)),02_RAW_DATA!$B$2:$B$57,$B62,02_RAW_DATA!$D$2:$D$57,01_README!$C$34))</f>
        <v>104.988825139001</v>
      </c>
      <c r="L62" s="11" t="n">
        <f aca="false">IF(COUNTIFS(02_RAW_DATA!$B$2:$B$57,$B62,02_RAW_DATA!$D$2:$D$57,01_README!$C$35,INDEX(02_RAW_DATA!$E$2:$U$57,0,MATCH($C62&amp;" [YR"&amp;$C62&amp;"]",02_RAW_DATA!$E$1:$U$1,0)),"&gt;-1E+300")=0,"",SUMIFS(INDEX(02_RAW_DATA!$E$2:$U$57,0,MATCH($C62&amp;" [YR"&amp;$C62&amp;"]",02_RAW_DATA!$E$1:$U$1,0)),02_RAW_DATA!$B$2:$B$57,$B62,02_RAW_DATA!$D$2:$D$57,01_README!$C$35))</f>
        <v>204.056318531151</v>
      </c>
      <c r="M62" s="10" t="n">
        <f aca="false">IF(COUNTIFS(02_RAW_DATA!$B$2:$B$57,$B62,02_RAW_DATA!$D$2:$D$57,01_README!$C$36,INDEX(02_RAW_DATA!$E$2:$U$57,0,MATCH($C62&amp;" [YR"&amp;$C62&amp;"]",02_RAW_DATA!$E$1:$U$1,0)),"&gt;-1E+300")=0,"",SUMIFS(INDEX(02_RAW_DATA!$E$2:$U$57,0,MATCH($C62&amp;" [YR"&amp;$C62&amp;"]",02_RAW_DATA!$E$1:$U$1,0)),02_RAW_DATA!$B$2:$B$57,$B62,02_RAW_DATA!$D$2:$D$57,01_README!$C$36))</f>
        <v>4827136369.08142</v>
      </c>
      <c r="N62" s="11" t="n">
        <f aca="false">IF(COUNTIFS(02_RAW_DATA!$B$2:$B$57,$B62,02_RAW_DATA!$D$2:$D$57,01_README!$C$37,INDEX(02_RAW_DATA!$E$2:$U$57,0,MATCH($C62&amp;" [YR"&amp;$C62&amp;"]",02_RAW_DATA!$E$1:$U$1,0)),"&gt;-1E+300")=0,"",SUMIFS(INDEX(02_RAW_DATA!$E$2:$U$57,0,MATCH($C62&amp;" [YR"&amp;$C62&amp;"]",02_RAW_DATA!$E$1:$U$1,0)),02_RAW_DATA!$B$2:$B$57,$B62,02_RAW_DATA!$D$2:$D$57,01_README!$C$37))</f>
        <v>4.1687645379277</v>
      </c>
      <c r="O62" s="11" t="n">
        <f aca="false">IF(COUNTIFS(02_RAW_DATA!$B$2:$B$57,$B62,02_RAW_DATA!$D$2:$D$57,01_README!$C$38,INDEX(02_RAW_DATA!$E$2:$U$57,0,MATCH($C62&amp;" [YR"&amp;$C62&amp;"]",02_RAW_DATA!$E$1:$U$1,0)),"&gt;-1E+300")=0,"",SUMIFS(INDEX(02_RAW_DATA!$E$2:$U$57,0,MATCH($C62&amp;" [YR"&amp;$C62&amp;"]",02_RAW_DATA!$E$1:$U$1,0)),02_RAW_DATA!$B$2:$B$57,$B62,02_RAW_DATA!$D$2:$D$57,01_README!$C$38))</f>
        <v>17.3506431084601</v>
      </c>
      <c r="P62" s="11" t="n">
        <f aca="false">IF(COUNTIFS(02_RAW_DATA!$B$2:$B$57,$B62,02_RAW_DATA!$D$2:$D$57,01_README!$C$39,INDEX(02_RAW_DATA!$E$2:$U$57,0,MATCH($C62&amp;" [YR"&amp;$C62&amp;"]",02_RAW_DATA!$E$1:$U$1,0)),"&gt;-1E+300")=0,"",SUMIFS(INDEX(02_RAW_DATA!$E$2:$U$57,0,MATCH($C62&amp;" [YR"&amp;$C62&amp;"]",02_RAW_DATA!$E$1:$U$1,0)),02_RAW_DATA!$B$2:$B$57,$B62,02_RAW_DATA!$D$2:$D$57,01_README!$C$39))</f>
        <v>-9.60893340616344</v>
      </c>
      <c r="Q62" s="10" t="n">
        <f aca="false">IF(COUNTIFS(02_RAW_DATA!$B$2:$B$57,$B62,02_RAW_DATA!$D$2:$D$57,01_README!$C$40,INDEX(02_RAW_DATA!$E$2:$U$57,0,MATCH($C62&amp;" [YR"&amp;$C62&amp;"]",02_RAW_DATA!$E$1:$U$1,0)),"&gt;-1E+300")=0,"",SUMIFS(INDEX(02_RAW_DATA!$E$2:$U$57,0,MATCH($C62&amp;" [YR"&amp;$C62&amp;"]",02_RAW_DATA!$E$1:$U$1,0)),02_RAW_DATA!$B$2:$B$57,$B62,02_RAW_DATA!$D$2:$D$57,01_README!$C$40))</f>
        <v>108386000000</v>
      </c>
    </row>
    <row r="63" customFormat="false" ht="15" hidden="false" customHeight="false" outlineLevel="0" collapsed="false">
      <c r="A63" s="8" t="s">
        <v>140</v>
      </c>
      <c r="B63" s="8" t="s">
        <v>134</v>
      </c>
      <c r="C63" s="8" t="n">
        <v>2023</v>
      </c>
      <c r="D63" s="10" t="n">
        <f aca="false">IF(COUNTIFS(02_RAW_DATA!$B$2:$B$57,$B63,02_RAW_DATA!$D$2:$D$57,01_README!$C$27,INDEX(02_RAW_DATA!$E$2:$U$57,0,MATCH($C63&amp;" [YR"&amp;$C63&amp;"]",02_RAW_DATA!$E$1:$U$1,0)),"&gt;-1E+300")=0,"",SUMIFS(INDEX(02_RAW_DATA!$E$2:$U$57,0,MATCH($C63&amp;" [YR"&amp;$C63&amp;"]",02_RAW_DATA!$E$1:$U$1,0)),02_RAW_DATA!$B$2:$B$57,$B63,02_RAW_DATA!$D$2:$D$57,01_README!$C$27))</f>
        <v>133578518423.544</v>
      </c>
      <c r="E63" s="11" t="n">
        <f aca="false">IF(COUNTIFS(02_RAW_DATA!$B$2:$B$57,$B63,02_RAW_DATA!$D$2:$D$57,01_README!$C$28,INDEX(02_RAW_DATA!$E$2:$U$57,0,MATCH($C63&amp;" [YR"&amp;$C63&amp;"]",02_RAW_DATA!$E$1:$U$1,0)),"&gt;-1E+300")=0,"",SUMIFS(INDEX(02_RAW_DATA!$E$2:$U$57,0,MATCH($C63&amp;" [YR"&amp;$C63&amp;"]",02_RAW_DATA!$E$1:$U$1,0)),02_RAW_DATA!$B$2:$B$57,$B63,02_RAW_DATA!$D$2:$D$57,01_README!$C$28))</f>
        <v>2.11263633214959</v>
      </c>
      <c r="F63" s="10" t="n">
        <f aca="false">IF(COUNTIFS(02_RAW_DATA!$B$2:$B$57,$B63,02_RAW_DATA!$D$2:$D$57,01_README!$C$29,INDEX(02_RAW_DATA!$E$2:$U$57,0,MATCH($C63&amp;" [YR"&amp;$C63&amp;"]",02_RAW_DATA!$E$1:$U$1,0)),"&gt;-1E+300")=0,"",SUMIFS(INDEX(02_RAW_DATA!$E$2:$U$57,0,MATCH($C63&amp;" [YR"&amp;$C63&amp;"]",02_RAW_DATA!$E$1:$U$1,0)),02_RAW_DATA!$B$2:$B$57,$B63,02_RAW_DATA!$D$2:$D$57,01_README!$C$29))</f>
        <v>24614.8734642794</v>
      </c>
      <c r="G63" s="10" t="n">
        <f aca="false">IF(COUNTIFS(02_RAW_DATA!$B$2:$B$57,$B63,02_RAW_DATA!$D$2:$D$57,01_README!$C$30,INDEX(02_RAW_DATA!$E$2:$U$57,0,MATCH($C63&amp;" [YR"&amp;$C63&amp;"]",02_RAW_DATA!$E$1:$U$1,0)),"&gt;-1E+300")=0,"",SUMIFS(INDEX(02_RAW_DATA!$E$2:$U$57,0,MATCH($C63&amp;" [YR"&amp;$C63&amp;"]",02_RAW_DATA!$E$1:$U$1,0)),02_RAW_DATA!$B$2:$B$57,$B63,02_RAW_DATA!$D$2:$D$57,01_README!$C$30))</f>
        <v>122215736734.818</v>
      </c>
      <c r="H63" s="10" t="n">
        <f aca="false">IF(COUNTIFS(02_RAW_DATA!$B$2:$B$57,$B63,02_RAW_DATA!$D$2:$D$57,01_README!$C$31,INDEX(02_RAW_DATA!$E$2:$U$57,0,MATCH($C63&amp;" [YR"&amp;$C63&amp;"]",02_RAW_DATA!$E$1:$U$1,0)),"&gt;-1E+300")=0,"",SUMIFS(INDEX(02_RAW_DATA!$E$2:$U$57,0,MATCH($C63&amp;" [YR"&amp;$C63&amp;"]",02_RAW_DATA!$E$1:$U$1,0)),02_RAW_DATA!$B$2:$B$57,$B63,02_RAW_DATA!$D$2:$D$57,01_README!$C$31))</f>
        <v>99442683922.5943</v>
      </c>
      <c r="I63" s="10" t="n">
        <f aca="false">IF(COUNTIFS(02_RAW_DATA!$B$2:$B$57,$B63,02_RAW_DATA!$D$2:$D$57,01_README!$C$32,INDEX(02_RAW_DATA!$E$2:$U$57,0,MATCH($C63&amp;" [YR"&amp;$C63&amp;"]",02_RAW_DATA!$E$1:$U$1,0)),"&gt;-1E+300")=0,"",SUMIFS(INDEX(02_RAW_DATA!$E$2:$U$57,0,MATCH($C63&amp;" [YR"&amp;$C63&amp;"]",02_RAW_DATA!$E$1:$U$1,0)),02_RAW_DATA!$B$2:$B$57,$B63,02_RAW_DATA!$D$2:$D$57,01_README!$C$32))</f>
        <v>120083503114.469</v>
      </c>
      <c r="J63" s="11" t="n">
        <f aca="false">IF(COUNTIFS(02_RAW_DATA!$B$2:$B$57,$B63,02_RAW_DATA!$D$2:$D$57,01_README!$C$33,INDEX(02_RAW_DATA!$E$2:$U$57,0,MATCH($C63&amp;" [YR"&amp;$C63&amp;"]",02_RAW_DATA!$E$1:$U$1,0)),"&gt;-1E+300")=0,"",SUMIFS(INDEX(02_RAW_DATA!$E$2:$U$57,0,MATCH($C63&amp;" [YR"&amp;$C63&amp;"]",02_RAW_DATA!$E$1:$U$1,0)),02_RAW_DATA!$B$2:$B$57,$B63,02_RAW_DATA!$D$2:$D$57,01_README!$C$33))</f>
        <v>91.4935561325084</v>
      </c>
      <c r="K63" s="11" t="n">
        <f aca="false">IF(COUNTIFS(02_RAW_DATA!$B$2:$B$57,$B63,02_RAW_DATA!$D$2:$D$57,01_README!$C$34,INDEX(02_RAW_DATA!$E$2:$U$57,0,MATCH($C63&amp;" [YR"&amp;$C63&amp;"]",02_RAW_DATA!$E$1:$U$1,0)),"&gt;-1E+300")=0,"",SUMIFS(INDEX(02_RAW_DATA!$E$2:$U$57,0,MATCH($C63&amp;" [YR"&amp;$C63&amp;"]",02_RAW_DATA!$E$1:$U$1,0)),02_RAW_DATA!$B$2:$B$57,$B63,02_RAW_DATA!$D$2:$D$57,01_README!$C$34))</f>
        <v>89.8973162239414</v>
      </c>
      <c r="L63" s="11" t="n">
        <f aca="false">IF(COUNTIFS(02_RAW_DATA!$B$2:$B$57,$B63,02_RAW_DATA!$D$2:$D$57,01_README!$C$35,INDEX(02_RAW_DATA!$E$2:$U$57,0,MATCH($C63&amp;" [YR"&amp;$C63&amp;"]",02_RAW_DATA!$E$1:$U$1,0)),"&gt;-1E+300")=0,"",SUMIFS(INDEX(02_RAW_DATA!$E$2:$U$57,0,MATCH($C63&amp;" [YR"&amp;$C63&amp;"]",02_RAW_DATA!$E$1:$U$1,0)),02_RAW_DATA!$B$2:$B$57,$B63,02_RAW_DATA!$D$2:$D$57,01_README!$C$35))</f>
        <v>181.39087235645</v>
      </c>
      <c r="M63" s="10" t="n">
        <f aca="false">IF(COUNTIFS(02_RAW_DATA!$B$2:$B$57,$B63,02_RAW_DATA!$D$2:$D$57,01_README!$C$36,INDEX(02_RAW_DATA!$E$2:$U$57,0,MATCH($C63&amp;" [YR"&amp;$C63&amp;"]",02_RAW_DATA!$E$1:$U$1,0)),"&gt;-1E+300")=0,"",SUMIFS(INDEX(02_RAW_DATA!$E$2:$U$57,0,MATCH($C63&amp;" [YR"&amp;$C63&amp;"]",02_RAW_DATA!$E$1:$U$1,0)),02_RAW_DATA!$B$2:$B$57,$B63,02_RAW_DATA!$D$2:$D$57,01_README!$C$36))</f>
        <v>526111240.912454</v>
      </c>
      <c r="N63" s="11" t="n">
        <f aca="false">IF(COUNTIFS(02_RAW_DATA!$B$2:$B$57,$B63,02_RAW_DATA!$D$2:$D$57,01_README!$C$37,INDEX(02_RAW_DATA!$E$2:$U$57,0,MATCH($C63&amp;" [YR"&amp;$C63&amp;"]",02_RAW_DATA!$E$1:$U$1,0)),"&gt;-1E+300")=0,"",SUMIFS(INDEX(02_RAW_DATA!$E$2:$U$57,0,MATCH($C63&amp;" [YR"&amp;$C63&amp;"]",02_RAW_DATA!$E$1:$U$1,0)),02_RAW_DATA!$B$2:$B$57,$B63,02_RAW_DATA!$D$2:$D$57,01_README!$C$37))</f>
        <v>0.393859167717588</v>
      </c>
      <c r="O63" s="11" t="n">
        <f aca="false">IF(COUNTIFS(02_RAW_DATA!$B$2:$B$57,$B63,02_RAW_DATA!$D$2:$D$57,01_README!$C$38,INDEX(02_RAW_DATA!$E$2:$U$57,0,MATCH($C63&amp;" [YR"&amp;$C63&amp;"]",02_RAW_DATA!$E$1:$U$1,0)),"&gt;-1E+300")=0,"",SUMIFS(INDEX(02_RAW_DATA!$E$2:$U$57,0,MATCH($C63&amp;" [YR"&amp;$C63&amp;"]",02_RAW_DATA!$E$1:$U$1,0)),02_RAW_DATA!$B$2:$B$57,$B63,02_RAW_DATA!$D$2:$D$57,01_README!$C$38))</f>
        <v>16.8469462095189</v>
      </c>
      <c r="P63" s="11" t="n">
        <f aca="false">IF(COUNTIFS(02_RAW_DATA!$B$2:$B$57,$B63,02_RAW_DATA!$D$2:$D$57,01_README!$C$39,INDEX(02_RAW_DATA!$E$2:$U$57,0,MATCH($C63&amp;" [YR"&amp;$C63&amp;"]",02_RAW_DATA!$E$1:$U$1,0)),"&gt;-1E+300")=0,"",SUMIFS(INDEX(02_RAW_DATA!$E$2:$U$57,0,MATCH($C63&amp;" [YR"&amp;$C63&amp;"]",02_RAW_DATA!$E$1:$U$1,0)),02_RAW_DATA!$B$2:$B$57,$B63,02_RAW_DATA!$D$2:$D$57,01_README!$C$39))</f>
        <v>-3.01849841620298</v>
      </c>
      <c r="Q63" s="10" t="n">
        <f aca="false">IF(COUNTIFS(02_RAW_DATA!$B$2:$B$57,$B63,02_RAW_DATA!$D$2:$D$57,01_README!$C$40,INDEX(02_RAW_DATA!$E$2:$U$57,0,MATCH($C63&amp;" [YR"&amp;$C63&amp;"]",02_RAW_DATA!$E$1:$U$1,0)),"&gt;-1E+300")=0,"",SUMIFS(INDEX(02_RAW_DATA!$E$2:$U$57,0,MATCH($C63&amp;" [YR"&amp;$C63&amp;"]",02_RAW_DATA!$E$1:$U$1,0)),02_RAW_DATA!$B$2:$B$57,$B63,02_RAW_DATA!$D$2:$D$57,01_README!$C$40))</f>
        <v>117494000000</v>
      </c>
    </row>
    <row r="64" customFormat="false" ht="15" hidden="false" customHeight="false" outlineLevel="0" collapsed="false">
      <c r="A64" s="8" t="s">
        <v>140</v>
      </c>
      <c r="B64" s="8" t="s">
        <v>134</v>
      </c>
      <c r="C64" s="8" t="n">
        <v>2024</v>
      </c>
      <c r="D64" s="10" t="n">
        <f aca="false">IF(COUNTIFS(02_RAW_DATA!$B$2:$B$57,$B64,02_RAW_DATA!$D$2:$D$57,01_README!$C$27,INDEX(02_RAW_DATA!$E$2:$U$57,0,MATCH($C64&amp;" [YR"&amp;$C64&amp;"]",02_RAW_DATA!$E$1:$U$1,0)),"&gt;-1E+300")=0,"",SUMIFS(INDEX(02_RAW_DATA!$E$2:$U$57,0,MATCH($C64&amp;" [YR"&amp;$C64&amp;"]",02_RAW_DATA!$E$1:$U$1,0)),02_RAW_DATA!$B$2:$B$57,$B64,02_RAW_DATA!$D$2:$D$57,01_README!$C$27))</f>
        <v>140934076532.375</v>
      </c>
      <c r="E64" s="11" t="n">
        <f aca="false">IF(COUNTIFS(02_RAW_DATA!$B$2:$B$57,$B64,02_RAW_DATA!$D$2:$D$57,01_README!$C$28,INDEX(02_RAW_DATA!$E$2:$U$57,0,MATCH($C64&amp;" [YR"&amp;$C64&amp;"]",02_RAW_DATA!$E$1:$U$1,0)),"&gt;-1E+300")=0,"",SUMIFS(INDEX(02_RAW_DATA!$E$2:$U$57,0,MATCH($C64&amp;" [YR"&amp;$C64&amp;"]",02_RAW_DATA!$E$1:$U$1,0)),02_RAW_DATA!$B$2:$B$57,$B64,02_RAW_DATA!$D$2:$D$57,01_README!$C$28))</f>
        <v>1.93867445549446</v>
      </c>
      <c r="F64" s="10" t="n">
        <f aca="false">IF(COUNTIFS(02_RAW_DATA!$B$2:$B$57,$B64,02_RAW_DATA!$D$2:$D$57,01_README!$C$29,INDEX(02_RAW_DATA!$E$2:$U$57,0,MATCH($C64&amp;" [YR"&amp;$C64&amp;"]",02_RAW_DATA!$E$1:$U$1,0)),"&gt;-1E+300")=0,"",SUMIFS(INDEX(02_RAW_DATA!$E$2:$U$57,0,MATCH($C64&amp;" [YR"&amp;$C64&amp;"]",02_RAW_DATA!$E$1:$U$1,0)),02_RAW_DATA!$B$2:$B$57,$B64,02_RAW_DATA!$D$2:$D$57,01_README!$C$29))</f>
        <v>25992.6748502048</v>
      </c>
      <c r="G64" s="10" t="n">
        <f aca="false">IF(COUNTIFS(02_RAW_DATA!$B$2:$B$57,$B64,02_RAW_DATA!$D$2:$D$57,01_README!$C$30,INDEX(02_RAW_DATA!$E$2:$U$57,0,MATCH($C64&amp;" [YR"&amp;$C64&amp;"]",02_RAW_DATA!$E$1:$U$1,0)),"&gt;-1E+300")=0,"",SUMIFS(INDEX(02_RAW_DATA!$E$2:$U$57,0,MATCH($C64&amp;" [YR"&amp;$C64&amp;"]",02_RAW_DATA!$E$1:$U$1,0)),02_RAW_DATA!$B$2:$B$57,$B64,02_RAW_DATA!$D$2:$D$57,01_README!$C$30))</f>
        <v>120475379841.381</v>
      </c>
      <c r="H64" s="10" t="n">
        <f aca="false">IF(COUNTIFS(02_RAW_DATA!$B$2:$B$57,$B64,02_RAW_DATA!$D$2:$D$57,01_README!$C$31,INDEX(02_RAW_DATA!$E$2:$U$57,0,MATCH($C64&amp;" [YR"&amp;$C64&amp;"]",02_RAW_DATA!$E$1:$U$1,0)),"&gt;-1E+300")=0,"",SUMIFS(INDEX(02_RAW_DATA!$E$2:$U$57,0,MATCH($C64&amp;" [YR"&amp;$C64&amp;"]",02_RAW_DATA!$E$1:$U$1,0)),02_RAW_DATA!$B$2:$B$57,$B64,02_RAW_DATA!$D$2:$D$57,01_README!$C$31))</f>
        <v>99464963958.8061</v>
      </c>
      <c r="I64" s="10" t="n">
        <f aca="false">IF(COUNTIFS(02_RAW_DATA!$B$2:$B$57,$B64,02_RAW_DATA!$D$2:$D$57,01_README!$C$32,INDEX(02_RAW_DATA!$E$2:$U$57,0,MATCH($C64&amp;" [YR"&amp;$C64&amp;"]",02_RAW_DATA!$E$1:$U$1,0)),"&gt;-1E+300")=0,"",SUMIFS(INDEX(02_RAW_DATA!$E$2:$U$57,0,MATCH($C64&amp;" [YR"&amp;$C64&amp;"]",02_RAW_DATA!$E$1:$U$1,0)),02_RAW_DATA!$B$2:$B$57,$B64,02_RAW_DATA!$D$2:$D$57,01_README!$C$32))</f>
        <v>120821798957.546</v>
      </c>
      <c r="J64" s="11" t="n">
        <f aca="false">IF(COUNTIFS(02_RAW_DATA!$B$2:$B$57,$B64,02_RAW_DATA!$D$2:$D$57,01_README!$C$33,INDEX(02_RAW_DATA!$E$2:$U$57,0,MATCH($C64&amp;" [YR"&amp;$C64&amp;"]",02_RAW_DATA!$E$1:$U$1,0)),"&gt;-1E+300")=0,"",SUMIFS(INDEX(02_RAW_DATA!$E$2:$U$57,0,MATCH($C64&amp;" [YR"&amp;$C64&amp;"]",02_RAW_DATA!$E$1:$U$1,0)),02_RAW_DATA!$B$2:$B$57,$B64,02_RAW_DATA!$D$2:$D$57,01_README!$C$33))</f>
        <v>85.4834989561279</v>
      </c>
      <c r="K64" s="11" t="n">
        <f aca="false">IF(COUNTIFS(02_RAW_DATA!$B$2:$B$57,$B64,02_RAW_DATA!$D$2:$D$57,01_README!$C$34,INDEX(02_RAW_DATA!$E$2:$U$57,0,MATCH($C64&amp;" [YR"&amp;$C64&amp;"]",02_RAW_DATA!$E$1:$U$1,0)),"&gt;-1E+300")=0,"",SUMIFS(INDEX(02_RAW_DATA!$E$2:$U$57,0,MATCH($C64&amp;" [YR"&amp;$C64&amp;"]",02_RAW_DATA!$E$1:$U$1,0)),02_RAW_DATA!$B$2:$B$57,$B64,02_RAW_DATA!$D$2:$D$57,01_README!$C$34))</f>
        <v>85.729301195507</v>
      </c>
      <c r="L64" s="11" t="n">
        <f aca="false">IF(COUNTIFS(02_RAW_DATA!$B$2:$B$57,$B64,02_RAW_DATA!$D$2:$D$57,01_README!$C$35,INDEX(02_RAW_DATA!$E$2:$U$57,0,MATCH($C64&amp;" [YR"&amp;$C64&amp;"]",02_RAW_DATA!$E$1:$U$1,0)),"&gt;-1E+300")=0,"",SUMIFS(INDEX(02_RAW_DATA!$E$2:$U$57,0,MATCH($C64&amp;" [YR"&amp;$C64&amp;"]",02_RAW_DATA!$E$1:$U$1,0)),02_RAW_DATA!$B$2:$B$57,$B64,02_RAW_DATA!$D$2:$D$57,01_README!$C$35))</f>
        <v>171.212800151635</v>
      </c>
      <c r="M64" s="10" t="n">
        <f aca="false">IF(COUNTIFS(02_RAW_DATA!$B$2:$B$57,$B64,02_RAW_DATA!$D$2:$D$57,01_README!$C$36,INDEX(02_RAW_DATA!$E$2:$U$57,0,MATCH($C64&amp;" [YR"&amp;$C64&amp;"]",02_RAW_DATA!$E$1:$U$1,0)),"&gt;-1E+300")=0,"",SUMIFS(INDEX(02_RAW_DATA!$E$2:$U$57,0,MATCH($C64&amp;" [YR"&amp;$C64&amp;"]",02_RAW_DATA!$E$1:$U$1,0)),02_RAW_DATA!$B$2:$B$57,$B64,02_RAW_DATA!$D$2:$D$57,01_README!$C$36))</f>
        <v>5010258031.63869</v>
      </c>
      <c r="N64" s="11" t="n">
        <f aca="false">IF(COUNTIFS(02_RAW_DATA!$B$2:$B$57,$B64,02_RAW_DATA!$D$2:$D$57,01_README!$C$37,INDEX(02_RAW_DATA!$E$2:$U$57,0,MATCH($C64&amp;" [YR"&amp;$C64&amp;"]",02_RAW_DATA!$E$1:$U$1,0)),"&gt;-1E+300")=0,"",SUMIFS(INDEX(02_RAW_DATA!$E$2:$U$57,0,MATCH($C64&amp;" [YR"&amp;$C64&amp;"]",02_RAW_DATA!$E$1:$U$1,0)),02_RAW_DATA!$B$2:$B$57,$B64,02_RAW_DATA!$D$2:$D$57,01_README!$C$37))</f>
        <v>3.55503662060591</v>
      </c>
      <c r="O64" s="11" t="n">
        <f aca="false">IF(COUNTIFS(02_RAW_DATA!$B$2:$B$57,$B64,02_RAW_DATA!$D$2:$D$57,01_README!$C$38,INDEX(02_RAW_DATA!$E$2:$U$57,0,MATCH($C64&amp;" [YR"&amp;$C64&amp;"]",02_RAW_DATA!$E$1:$U$1,0)),"&gt;-1E+300")=0,"",SUMIFS(INDEX(02_RAW_DATA!$E$2:$U$57,0,MATCH($C64&amp;" [YR"&amp;$C64&amp;"]",02_RAW_DATA!$E$1:$U$1,0)),02_RAW_DATA!$B$2:$B$57,$B64,02_RAW_DATA!$D$2:$D$57,01_README!$C$38))</f>
        <v>16.327904870625</v>
      </c>
      <c r="P64" s="11" t="n">
        <f aca="false">IF(COUNTIFS(02_RAW_DATA!$B$2:$B$57,$B64,02_RAW_DATA!$D$2:$D$57,01_README!$C$39,INDEX(02_RAW_DATA!$E$2:$U$57,0,MATCH($C64&amp;" [YR"&amp;$C64&amp;"]",02_RAW_DATA!$E$1:$U$1,0)),"&gt;-1E+300")=0,"",SUMIFS(INDEX(02_RAW_DATA!$E$2:$U$57,0,MATCH($C64&amp;" [YR"&amp;$C64&amp;"]",02_RAW_DATA!$E$1:$U$1,0)),02_RAW_DATA!$B$2:$B$57,$B64,02_RAW_DATA!$D$2:$D$57,01_README!$C$39))</f>
        <v>-4.61427189349135</v>
      </c>
      <c r="Q64" s="10" t="n">
        <f aca="false">IF(COUNTIFS(02_RAW_DATA!$B$2:$B$57,$B64,02_RAW_DATA!$D$2:$D$57,01_README!$C$40,INDEX(02_RAW_DATA!$E$2:$U$57,0,MATCH($C64&amp;" [YR"&amp;$C64&amp;"]",02_RAW_DATA!$E$1:$U$1,0)),"&gt;-1E+300")=0,"",SUMIFS(INDEX(02_RAW_DATA!$E$2:$U$57,0,MATCH($C64&amp;" [YR"&amp;$C64&amp;"]",02_RAW_DATA!$E$1:$U$1,0)),02_RAW_DATA!$B$2:$B$57,$B64,02_RAW_DATA!$D$2:$D$57,01_README!$C$40))</f>
        <v>115794000000</v>
      </c>
    </row>
    <row r="65" customFormat="false" ht="15" hidden="false" customHeight="false" outlineLevel="0" collapsed="false">
      <c r="A65" s="8" t="s">
        <v>140</v>
      </c>
      <c r="B65" s="8" t="s">
        <v>134</v>
      </c>
      <c r="C65" s="8" t="n">
        <v>2025</v>
      </c>
      <c r="D65" s="10" t="n">
        <f aca="false">IF(COUNTIFS(02_RAW_DATA!$B$2:$B$57,$B65,02_RAW_DATA!$D$2:$D$57,01_README!$C$27,INDEX(02_RAW_DATA!$E$2:$U$57,0,MATCH($C65&amp;" [YR"&amp;$C65&amp;"]",02_RAW_DATA!$E$1:$U$1,0)),"&gt;-1E+300")=0,"",SUMIFS(INDEX(02_RAW_DATA!$E$2:$U$57,0,MATCH($C65&amp;" [YR"&amp;$C65&amp;"]",02_RAW_DATA!$E$1:$U$1,0)),02_RAW_DATA!$B$2:$B$57,$B65,02_RAW_DATA!$D$2:$D$57,01_README!$C$27))</f>
        <v>154530066506.895</v>
      </c>
      <c r="E65" s="11" t="n">
        <f aca="false">IF(COUNTIFS(02_RAW_DATA!$B$2:$B$57,$B65,02_RAW_DATA!$D$2:$D$57,01_README!$C$28,INDEX(02_RAW_DATA!$E$2:$U$57,0,MATCH($C65&amp;" [YR"&amp;$C65&amp;"]",02_RAW_DATA!$E$1:$U$1,0)),"&gt;-1E+300")=0,"",SUMIFS(INDEX(02_RAW_DATA!$E$2:$U$57,0,MATCH($C65&amp;" [YR"&amp;$C65&amp;"]",02_RAW_DATA!$E$1:$U$1,0)),02_RAW_DATA!$B$2:$B$57,$B65,02_RAW_DATA!$D$2:$D$57,01_README!$C$28))</f>
        <v>0.807418690144758</v>
      </c>
      <c r="F65" s="10" t="n">
        <f aca="false">IF(COUNTIFS(02_RAW_DATA!$B$2:$B$57,$B65,02_RAW_DATA!$D$2:$D$57,01_README!$C$29,INDEX(02_RAW_DATA!$E$2:$U$57,0,MATCH($C65&amp;" [YR"&amp;$C65&amp;"]",02_RAW_DATA!$E$1:$U$1,0)),"&gt;-1E+300")=0,"",SUMIFS(INDEX(02_RAW_DATA!$E$2:$U$57,0,MATCH($C65&amp;" [YR"&amp;$C65&amp;"]",02_RAW_DATA!$E$1:$U$1,0)),02_RAW_DATA!$B$2:$B$57,$B65,02_RAW_DATA!$D$2:$D$57,01_README!$C$29))</f>
        <v>28543.6653439813</v>
      </c>
      <c r="G65" s="10" t="n">
        <f aca="false">IF(COUNTIFS(02_RAW_DATA!$B$2:$B$57,$B65,02_RAW_DATA!$D$2:$D$57,01_README!$C$30,INDEX(02_RAW_DATA!$E$2:$U$57,0,MATCH($C65&amp;" [YR"&amp;$C65&amp;"]",02_RAW_DATA!$E$1:$U$1,0)),"&gt;-1E+300")=0,"",SUMIFS(INDEX(02_RAW_DATA!$E$2:$U$57,0,MATCH($C65&amp;" [YR"&amp;$C65&amp;"]",02_RAW_DATA!$E$1:$U$1,0)),02_RAW_DATA!$B$2:$B$57,$B65,02_RAW_DATA!$D$2:$D$57,01_README!$C$30))</f>
        <v>131496787422.657</v>
      </c>
      <c r="H65" s="10" t="n">
        <f aca="false">IF(COUNTIFS(02_RAW_DATA!$B$2:$B$57,$B65,02_RAW_DATA!$D$2:$D$57,01_README!$C$31,INDEX(02_RAW_DATA!$E$2:$U$57,0,MATCH($C65&amp;" [YR"&amp;$C65&amp;"]",02_RAW_DATA!$E$1:$U$1,0)),"&gt;-1E+300")=0,"",SUMIFS(INDEX(02_RAW_DATA!$E$2:$U$57,0,MATCH($C65&amp;" [YR"&amp;$C65&amp;"]",02_RAW_DATA!$E$1:$U$1,0)),02_RAW_DATA!$B$2:$B$57,$B65,02_RAW_DATA!$D$2:$D$57,01_README!$C$31))</f>
        <v>103426401563.679</v>
      </c>
      <c r="I65" s="10" t="n">
        <f aca="false">IF(COUNTIFS(02_RAW_DATA!$B$2:$B$57,$B65,02_RAW_DATA!$D$2:$D$57,01_README!$C$32,INDEX(02_RAW_DATA!$E$2:$U$57,0,MATCH($C65&amp;" [YR"&amp;$C65&amp;"]",02_RAW_DATA!$E$1:$U$1,0)),"&gt;-1E+300")=0,"",SUMIFS(INDEX(02_RAW_DATA!$E$2:$U$57,0,MATCH($C65&amp;" [YR"&amp;$C65&amp;"]",02_RAW_DATA!$E$1:$U$1,0)),02_RAW_DATA!$B$2:$B$57,$B65,02_RAW_DATA!$D$2:$D$57,01_README!$C$32))</f>
        <v>131733585558.917</v>
      </c>
      <c r="J65" s="11" t="n">
        <f aca="false">IF(COUNTIFS(02_RAW_DATA!$B$2:$B$57,$B65,02_RAW_DATA!$D$2:$D$57,01_README!$C$33,INDEX(02_RAW_DATA!$E$2:$U$57,0,MATCH($C65&amp;" [YR"&amp;$C65&amp;"]",02_RAW_DATA!$E$1:$U$1,0)),"&gt;-1E+300")=0,"",SUMIFS(INDEX(02_RAW_DATA!$E$2:$U$57,0,MATCH($C65&amp;" [YR"&amp;$C65&amp;"]",02_RAW_DATA!$E$1:$U$1,0)),02_RAW_DATA!$B$2:$B$57,$B65,02_RAW_DATA!$D$2:$D$57,01_README!$C$33))</f>
        <v>85.0946294110273</v>
      </c>
      <c r="K65" s="11" t="n">
        <f aca="false">IF(COUNTIFS(02_RAW_DATA!$B$2:$B$57,$B65,02_RAW_DATA!$D$2:$D$57,01_README!$C$34,INDEX(02_RAW_DATA!$E$2:$U$57,0,MATCH($C65&amp;" [YR"&amp;$C65&amp;"]",02_RAW_DATA!$E$1:$U$1,0)),"&gt;-1E+300")=0,"",SUMIFS(INDEX(02_RAW_DATA!$E$2:$U$57,0,MATCH($C65&amp;" [YR"&amp;$C65&amp;"]",02_RAW_DATA!$E$1:$U$1,0)),02_RAW_DATA!$B$2:$B$57,$B65,02_RAW_DATA!$D$2:$D$57,01_README!$C$34))</f>
        <v>85.2478669923037</v>
      </c>
      <c r="L65" s="11" t="n">
        <f aca="false">IF(COUNTIFS(02_RAW_DATA!$B$2:$B$57,$B65,02_RAW_DATA!$D$2:$D$57,01_README!$C$35,INDEX(02_RAW_DATA!$E$2:$U$57,0,MATCH($C65&amp;" [YR"&amp;$C65&amp;"]",02_RAW_DATA!$E$1:$U$1,0)),"&gt;-1E+300")=0,"",SUMIFS(INDEX(02_RAW_DATA!$E$2:$U$57,0,MATCH($C65&amp;" [YR"&amp;$C65&amp;"]",02_RAW_DATA!$E$1:$U$1,0)),02_RAW_DATA!$B$2:$B$57,$B65,02_RAW_DATA!$D$2:$D$57,01_README!$C$35))</f>
        <v>170.342496403331</v>
      </c>
      <c r="M65" s="10" t="n">
        <f aca="false">IF(COUNTIFS(02_RAW_DATA!$B$2:$B$57,$B65,02_RAW_DATA!$D$2:$D$57,01_README!$C$36,INDEX(02_RAW_DATA!$E$2:$U$57,0,MATCH($C65&amp;" [YR"&amp;$C65&amp;"]",02_RAW_DATA!$E$1:$U$1,0)),"&gt;-1E+300")=0,"",SUMIFS(INDEX(02_RAW_DATA!$E$2:$U$57,0,MATCH($C65&amp;" [YR"&amp;$C65&amp;"]",02_RAW_DATA!$E$1:$U$1,0)),02_RAW_DATA!$B$2:$B$57,$B65,02_RAW_DATA!$D$2:$D$57,01_README!$C$36))</f>
        <v>2053760336.65341</v>
      </c>
      <c r="N65" s="11" t="n">
        <f aca="false">IF(COUNTIFS(02_RAW_DATA!$B$2:$B$57,$B65,02_RAW_DATA!$D$2:$D$57,01_README!$C$37,INDEX(02_RAW_DATA!$E$2:$U$57,0,MATCH($C65&amp;" [YR"&amp;$C65&amp;"]",02_RAW_DATA!$E$1:$U$1,0)),"&gt;-1E+300")=0,"",SUMIFS(INDEX(02_RAW_DATA!$E$2:$U$57,0,MATCH($C65&amp;" [YR"&amp;$C65&amp;"]",02_RAW_DATA!$E$1:$U$1,0)),02_RAW_DATA!$B$2:$B$57,$B65,02_RAW_DATA!$D$2:$D$57,01_README!$C$37))</f>
        <v>1.32903607891851</v>
      </c>
      <c r="O65" s="11" t="n">
        <f aca="false">IF(COUNTIFS(02_RAW_DATA!$B$2:$B$57,$B65,02_RAW_DATA!$D$2:$D$57,01_README!$C$38,INDEX(02_RAW_DATA!$E$2:$U$57,0,MATCH($C65&amp;" [YR"&amp;$C65&amp;"]",02_RAW_DATA!$E$1:$U$1,0)),"&gt;-1E+300")=0,"",SUMIFS(INDEX(02_RAW_DATA!$E$2:$U$57,0,MATCH($C65&amp;" [YR"&amp;$C65&amp;"]",02_RAW_DATA!$E$1:$U$1,0)),02_RAW_DATA!$B$2:$B$57,$B65,02_RAW_DATA!$D$2:$D$57,01_README!$C$38))</f>
        <v>16.194388078966</v>
      </c>
      <c r="P65" s="11" t="n">
        <f aca="false">IF(COUNTIFS(02_RAW_DATA!$B$2:$B$57,$B65,02_RAW_DATA!$D$2:$D$57,01_README!$C$39,INDEX(02_RAW_DATA!$E$2:$U$57,0,MATCH($C65&amp;" [YR"&amp;$C65&amp;"]",02_RAW_DATA!$E$1:$U$1,0)),"&gt;-1E+300")=0,"",SUMIFS(INDEX(02_RAW_DATA!$E$2:$U$57,0,MATCH($C65&amp;" [YR"&amp;$C65&amp;"]",02_RAW_DATA!$E$1:$U$1,0)),02_RAW_DATA!$B$2:$B$57,$B65,02_RAW_DATA!$D$2:$D$57,01_README!$C$39))</f>
        <v>-3.62646052924369</v>
      </c>
      <c r="Q65" s="10" t="n">
        <f aca="false">IF(COUNTIFS(02_RAW_DATA!$B$2:$B$57,$B65,02_RAW_DATA!$D$2:$D$57,01_README!$C$40,INDEX(02_RAW_DATA!$E$2:$U$57,0,MATCH($C65&amp;" [YR"&amp;$C65&amp;"]",02_RAW_DATA!$E$1:$U$1,0)),"&gt;-1E+300")=0,"",SUMIFS(INDEX(02_RAW_DATA!$E$2:$U$57,0,MATCH($C65&amp;" [YR"&amp;$C65&amp;"]",02_RAW_DATA!$E$1:$U$1,0)),02_RAW_DATA!$B$2:$B$57,$B65,02_RAW_DATA!$D$2:$D$57,01_README!$C$40))</f>
        <v>125443000000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
    <col collapsed="false" customWidth="true" hidden="false" outlineLevel="0" max="6" min="4" style="0" width="16"/>
    <col collapsed="false" customWidth="true" hidden="false" outlineLevel="0" max="7" min="7" style="0" width="18"/>
    <col collapsed="false" customWidth="true" hidden="false" outlineLevel="0" max="8" min="8" style="0" width="14"/>
    <col collapsed="false" customWidth="true" hidden="false" outlineLevel="0" max="9" min="9" style="0" width="22"/>
    <col collapsed="false" customWidth="true" hidden="false" outlineLevel="0" max="15" min="10" style="0" width="14"/>
    <col collapsed="false" customWidth="true" hidden="false" outlineLevel="0" max="17" min="17" style="0" width="40"/>
    <col collapsed="false" customWidth="true" hidden="false" outlineLevel="0" max="21" min="18" style="0" width="16"/>
  </cols>
  <sheetData>
    <row r="1" customFormat="false" ht="48" hidden="false" customHeight="true" outlineLevel="0" collapsed="false">
      <c r="A1" s="6" t="s">
        <v>137</v>
      </c>
      <c r="B1" s="6" t="s">
        <v>138</v>
      </c>
      <c r="C1" s="6" t="s">
        <v>139</v>
      </c>
      <c r="D1" s="6" t="s">
        <v>141</v>
      </c>
      <c r="E1" s="6" t="s">
        <v>142</v>
      </c>
      <c r="F1" s="6" t="s">
        <v>143</v>
      </c>
      <c r="G1" s="6" t="s">
        <v>144</v>
      </c>
      <c r="H1" s="6" t="s">
        <v>145</v>
      </c>
      <c r="I1" s="6" t="s">
        <v>146</v>
      </c>
      <c r="J1" s="6" t="s">
        <v>147</v>
      </c>
      <c r="K1" s="6" t="s">
        <v>148</v>
      </c>
      <c r="L1" s="6" t="s">
        <v>149</v>
      </c>
      <c r="M1" s="6" t="s">
        <v>150</v>
      </c>
      <c r="N1" s="6" t="s">
        <v>151</v>
      </c>
      <c r="O1" s="6" t="s">
        <v>152</v>
      </c>
      <c r="Q1" s="4" t="s">
        <v>153</v>
      </c>
    </row>
    <row r="2" customFormat="false" ht="15" hidden="false" customHeight="false" outlineLevel="0" collapsed="false">
      <c r="A2" s="7" t="str">
        <f aca="false">03_CLEAN_DATA!A2</f>
        <v>Hungary</v>
      </c>
      <c r="B2" s="7" t="str">
        <f aca="false">03_CLEAN_DATA!B2</f>
        <v>HUN</v>
      </c>
      <c r="C2" s="7" t="n">
        <f aca="false">03_CLEAN_DATA!C2</f>
        <v>2010</v>
      </c>
      <c r="D2" s="11" t="n">
        <f aca="false">IF(C2=2010,IF(OR(03_CLEAN_DATA!H2="",INDEX($R$8:$R$11,MATCH(B2,$Q$8:$Q$11,0))=""),"",(03_CLEAN_DATA!H2/INDEX($R$8:$R$11,MATCH(B2,$Q$8:$Q$11,0))-1)*100),IF(OR(03_CLEAN_DATA!H2="",03_CLEAN_DATA!H1=""),"",(03_CLEAN_DATA!H2/03_CLEAN_DATA!H1-1)*100))</f>
        <v>11.1175298333013</v>
      </c>
      <c r="E2" s="11" t="n">
        <f aca="false">IF(OR(03_CLEAN_DATA!G2="",03_CLEAN_DATA!I2="",03_CLEAN_DATA!D2=""),"",(03_CLEAN_DATA!G2-03_CLEAN_DATA!I2)/03_CLEAN_DATA!D2*100)</f>
        <v>4.66804700510686</v>
      </c>
      <c r="F2" s="11" t="n">
        <f aca="false">IF(OR(03_CLEAN_DATA!G2="",03_CLEAN_DATA!I2="",03_CLEAN_DATA!D2=""),"",(03_CLEAN_DATA!G2+03_CLEAN_DATA!I2)/03_CLEAN_DATA!D2*100)</f>
        <v>157.838960085897</v>
      </c>
      <c r="G2" s="12" t="n">
        <f aca="false">IF(OR(F2="",03_CLEAN_DATA!L2=""),"",F2-03_CLEAN_DATA!L2)</f>
        <v>8.81072992342524E-013</v>
      </c>
      <c r="H2" s="13" t="n">
        <f aca="false">IF(03_CLEAN_DATA!H2="","",03_CLEAN_DATA!H2/SUMIFS(03_CLEAN_DATA!$H$2:$H$65,03_CLEAN_DATA!$B$2:$B$65,B2,03_CLEAN_DATA!$C$2:$C$65,$R$4)*100)</f>
        <v>100</v>
      </c>
      <c r="I2" s="7" t="str">
        <f aca="false">IF(C2&lt;=2019,"Pre-COVID (2010-2019)",IF(C2&lt;=2021,"COVID (2020-2021)","Post-COVID (2022-2025)"))</f>
        <v>Pre-COVID (2010-2019)</v>
      </c>
      <c r="J2" s="7" t="str">
        <f aca="false">IF(04_CALCULATIONS!D2="","MISSING",TRIM(IF(OR(04_CALCULATIONS!D2&lt;$T$15,04_CALCULATIONS!D2&gt;$U$15),"IQR ","")&amp;IF(ABS((04_CALCULATIONS!D2-AVERAGE(04_CALCULATIONS!$D$2:$D$17))/STDEV(04_CALCULATIONS!$D$2:$D$17))&gt;$R$3," Z","")&amp;IF($C2=2010," Rebound","")))</f>
        <v>Rebound</v>
      </c>
      <c r="K2" s="7" t="str">
        <f aca="false">IF(03_CLEAN_DATA!E2="","MISSING",TRIM(IF(OR(03_CLEAN_DATA!E2&lt;$T$16,03_CLEAN_DATA!E2&gt;$U$16),"IQR ","")&amp;IF(ABS((03_CLEAN_DATA!E2-AVERAGE(03_CLEAN_DATA!$E$2:$E$17))/STDEV(03_CLEAN_DATA!$E$2:$E$17))&gt;$R$3," Z","")))</f>
        <v/>
      </c>
      <c r="L2" s="7" t="str">
        <f aca="false">IF(03_CLEAN_DATA!N2="","MISSING",TRIM(IF(OR(03_CLEAN_DATA!N2&lt;$T$17,03_CLEAN_DATA!N2&gt;$U$17),"IQR ","")&amp;IF(ABS((03_CLEAN_DATA!N2-AVERAGE(03_CLEAN_DATA!$N$2:$N$17))/STDEV(03_CLEAN_DATA!$N$2:$N$17))&gt;$R$3," Z","")))</f>
        <v>IQR</v>
      </c>
      <c r="M2" s="7" t="str">
        <f aca="false">IF(03_CLEAN_DATA!O2="","MISSING",TRIM(IF(OR(03_CLEAN_DATA!O2&lt;$T$18,03_CLEAN_DATA!O2&gt;$U$18),"IQR ","")&amp;IF(ABS((03_CLEAN_DATA!O2-AVERAGE(03_CLEAN_DATA!$O$2:$O$17))/STDEV(03_CLEAN_DATA!$O$2:$O$17))&gt;$R$3," Z","")))</f>
        <v/>
      </c>
      <c r="N2" s="7" t="str">
        <f aca="false">IF(04_CALCULATIONS!E2="","MISSING",TRIM(IF(OR(04_CALCULATIONS!E2&lt;$T$19,04_CALCULATIONS!E2&gt;$U$19),"IQR ","")&amp;IF(ABS((04_CALCULATIONS!E2-AVERAGE(04_CALCULATIONS!$E$2:$E$17))/STDEV(04_CALCULATIONS!$E$2:$E$17))&gt;$R$3," Z","")))</f>
        <v/>
      </c>
      <c r="O2" s="7" t="str">
        <f aca="false">IF(03_CLEAN_DATA!L2="","MISSING",TRIM(IF(OR(03_CLEAN_DATA!L2&lt;$T$20,03_CLEAN_DATA!L2&gt;$U$20),"IQR ","")&amp;IF(ABS((03_CLEAN_DATA!L2-AVERAGE(03_CLEAN_DATA!$L$2:$L$17))/STDEV(03_CLEAN_DATA!$L$2:$L$17))&gt;$R$3," Z","")))</f>
        <v/>
      </c>
      <c r="Q2" s="7" t="s">
        <v>154</v>
      </c>
      <c r="R2" s="14" t="n">
        <v>1.5</v>
      </c>
      <c r="S2" s="9" t="s">
        <v>155</v>
      </c>
    </row>
    <row r="3" customFormat="false" ht="15" hidden="false" customHeight="false" outlineLevel="0" collapsed="false">
      <c r="A3" s="7" t="str">
        <f aca="false">03_CLEAN_DATA!A3</f>
        <v>Hungary</v>
      </c>
      <c r="B3" s="7" t="str">
        <f aca="false">03_CLEAN_DATA!B3</f>
        <v>HUN</v>
      </c>
      <c r="C3" s="7" t="n">
        <f aca="false">03_CLEAN_DATA!C3</f>
        <v>2011</v>
      </c>
      <c r="D3" s="11" t="n">
        <f aca="false">IF(C3=2010,IF(OR(03_CLEAN_DATA!H3="",INDEX($R$8:$R$11,MATCH(B3,$Q$8:$Q$11,0))=""),"",(03_CLEAN_DATA!H3/INDEX($R$8:$R$11,MATCH(B3,$Q$8:$Q$11,0))-1)*100),IF(OR(03_CLEAN_DATA!H3="",03_CLEAN_DATA!H2=""),"",(03_CLEAN_DATA!H3/03_CLEAN_DATA!H2-1)*100))</f>
        <v>6.41395503667792</v>
      </c>
      <c r="E3" s="11" t="n">
        <f aca="false">IF(OR(03_CLEAN_DATA!G3="",03_CLEAN_DATA!I3="",03_CLEAN_DATA!D3=""),"",(03_CLEAN_DATA!G3-03_CLEAN_DATA!I3)/03_CLEAN_DATA!D3*100)</f>
        <v>5.63195342647698</v>
      </c>
      <c r="F3" s="11" t="n">
        <f aca="false">IF(OR(03_CLEAN_DATA!G3="",03_CLEAN_DATA!I3="",03_CLEAN_DATA!D3=""),"",(03_CLEAN_DATA!G3+03_CLEAN_DATA!I3)/03_CLEAN_DATA!D3*100)</f>
        <v>166.754347209898</v>
      </c>
      <c r="G3" s="12" t="n">
        <f aca="false">IF(OR(F3="",03_CLEAN_DATA!L3=""),"",F3-03_CLEAN_DATA!L3)</f>
        <v>5.96855898038484E-013</v>
      </c>
      <c r="H3" s="13" t="n">
        <f aca="false">IF(03_CLEAN_DATA!H3="","",03_CLEAN_DATA!H3/SUMIFS(03_CLEAN_DATA!$H$2:$H$65,03_CLEAN_DATA!$B$2:$B$65,B3,03_CLEAN_DATA!$C$2:$C$65,$R$4)*100)</f>
        <v>106.413955036678</v>
      </c>
      <c r="I3" s="7" t="str">
        <f aca="false">IF(C3&lt;=2019,"Pre-COVID (2010-2019)",IF(C3&lt;=2021,"COVID (2020-2021)","Post-COVID (2022-2025)"))</f>
        <v>Pre-COVID (2010-2019)</v>
      </c>
      <c r="J3" s="7" t="str">
        <f aca="false">IF(04_CALCULATIONS!D3="","MISSING",TRIM(IF(OR(04_CALCULATIONS!D3&lt;$T$15,04_CALCULATIONS!D3&gt;$U$15),"IQR ","")&amp;IF(ABS((04_CALCULATIONS!D3-AVERAGE(04_CALCULATIONS!$D$2:$D$17))/STDEV(04_CALCULATIONS!$D$2:$D$17))&gt;$R$3," Z","")&amp;IF($C3=2010," Rebound","")))</f>
        <v/>
      </c>
      <c r="K3" s="7" t="str">
        <f aca="false">IF(03_CLEAN_DATA!E3="","MISSING",TRIM(IF(OR(03_CLEAN_DATA!E3&lt;$T$16,03_CLEAN_DATA!E3&gt;$U$16),"IQR ","")&amp;IF(ABS((03_CLEAN_DATA!E3-AVERAGE(03_CLEAN_DATA!$E$2:$E$17))/STDEV(03_CLEAN_DATA!$E$2:$E$17))&gt;$R$3," Z","")))</f>
        <v/>
      </c>
      <c r="L3" s="7" t="str">
        <f aca="false">IF(03_CLEAN_DATA!N3="","MISSING",TRIM(IF(OR(03_CLEAN_DATA!N3&lt;$T$17,03_CLEAN_DATA!N3&gt;$U$17),"IQR ","")&amp;IF(ABS((03_CLEAN_DATA!N3-AVERAGE(03_CLEAN_DATA!$N$2:$N$17))/STDEV(03_CLEAN_DATA!$N$2:$N$17))&gt;$R$3," Z","")))</f>
        <v/>
      </c>
      <c r="M3" s="7" t="str">
        <f aca="false">IF(03_CLEAN_DATA!O3="","MISSING",TRIM(IF(OR(03_CLEAN_DATA!O3&lt;$T$18,03_CLEAN_DATA!O3&gt;$U$18),"IQR ","")&amp;IF(ABS((03_CLEAN_DATA!O3-AVERAGE(03_CLEAN_DATA!$O$2:$O$17))/STDEV(03_CLEAN_DATA!$O$2:$O$17))&gt;$R$3," Z","")))</f>
        <v/>
      </c>
      <c r="N3" s="7" t="str">
        <f aca="false">IF(04_CALCULATIONS!E3="","MISSING",TRIM(IF(OR(04_CALCULATIONS!E3&lt;$T$19,04_CALCULATIONS!E3&gt;$U$19),"IQR ","")&amp;IF(ABS((04_CALCULATIONS!E3-AVERAGE(04_CALCULATIONS!$E$2:$E$17))/STDEV(04_CALCULATIONS!$E$2:$E$17))&gt;$R$3," Z","")))</f>
        <v/>
      </c>
      <c r="O3" s="7" t="str">
        <f aca="false">IF(03_CLEAN_DATA!L3="","MISSING",TRIM(IF(OR(03_CLEAN_DATA!L3&lt;$T$20,03_CLEAN_DATA!L3&gt;$U$20),"IQR ","")&amp;IF(ABS((03_CLEAN_DATA!L3-AVERAGE(03_CLEAN_DATA!$L$2:$L$17))/STDEV(03_CLEAN_DATA!$L$2:$L$17))&gt;$R$3," Z","")))</f>
        <v/>
      </c>
      <c r="Q3" s="7" t="s">
        <v>156</v>
      </c>
      <c r="R3" s="14" t="n">
        <v>2.5</v>
      </c>
    </row>
    <row r="4" customFormat="false" ht="15" hidden="false" customHeight="false" outlineLevel="0" collapsed="false">
      <c r="A4" s="7" t="str">
        <f aca="false">03_CLEAN_DATA!A4</f>
        <v>Hungary</v>
      </c>
      <c r="B4" s="7" t="str">
        <f aca="false">03_CLEAN_DATA!B4</f>
        <v>HUN</v>
      </c>
      <c r="C4" s="7" t="n">
        <f aca="false">03_CLEAN_DATA!C4</f>
        <v>2012</v>
      </c>
      <c r="D4" s="11" t="n">
        <f aca="false">IF(C4=2010,IF(OR(03_CLEAN_DATA!H4="",INDEX($R$8:$R$11,MATCH(B4,$Q$8:$Q$11,0))=""),"",(03_CLEAN_DATA!H4/INDEX($R$8:$R$11,MATCH(B4,$Q$8:$Q$11,0))-1)*100),IF(OR(03_CLEAN_DATA!H4="",03_CLEAN_DATA!H3=""),"",(03_CLEAN_DATA!H4/03_CLEAN_DATA!H3-1)*100))</f>
        <v>-1.70149550635105</v>
      </c>
      <c r="E4" s="11" t="n">
        <f aca="false">IF(OR(03_CLEAN_DATA!G4="",03_CLEAN_DATA!I4="",03_CLEAN_DATA!D4=""),"",(03_CLEAN_DATA!G4-03_CLEAN_DATA!I4)/03_CLEAN_DATA!D4*100)</f>
        <v>5.99952080267289</v>
      </c>
      <c r="F4" s="11" t="n">
        <f aca="false">IF(OR(03_CLEAN_DATA!G4="",03_CLEAN_DATA!I4="",03_CLEAN_DATA!D4=""),"",(03_CLEAN_DATA!G4+03_CLEAN_DATA!I4)/03_CLEAN_DATA!D4*100)</f>
        <v>166.175698609571</v>
      </c>
      <c r="G4" s="12" t="n">
        <f aca="false">IF(OR(F4="",03_CLEAN_DATA!L4=""),"",F4-03_CLEAN_DATA!L4)</f>
        <v>0</v>
      </c>
      <c r="H4" s="13" t="n">
        <f aca="false">IF(03_CLEAN_DATA!H4="","",03_CLEAN_DATA!H4/SUMIFS(03_CLEAN_DATA!$H$2:$H$65,03_CLEAN_DATA!$B$2:$B$65,B4,03_CLEAN_DATA!$C$2:$C$65,$R$4)*100)</f>
        <v>104.603326373598</v>
      </c>
      <c r="I4" s="7" t="str">
        <f aca="false">IF(C4&lt;=2019,"Pre-COVID (2010-2019)",IF(C4&lt;=2021,"COVID (2020-2021)","Post-COVID (2022-2025)"))</f>
        <v>Pre-COVID (2010-2019)</v>
      </c>
      <c r="J4" s="7" t="str">
        <f aca="false">IF(04_CALCULATIONS!D4="","MISSING",TRIM(IF(OR(04_CALCULATIONS!D4&lt;$T$15,04_CALCULATIONS!D4&gt;$U$15),"IQR ","")&amp;IF(ABS((04_CALCULATIONS!D4-AVERAGE(04_CALCULATIONS!$D$2:$D$17))/STDEV(04_CALCULATIONS!$D$2:$D$17))&gt;$R$3," Z","")&amp;IF($C4=2010," Rebound","")))</f>
        <v/>
      </c>
      <c r="K4" s="7" t="str">
        <f aca="false">IF(03_CLEAN_DATA!E4="","MISSING",TRIM(IF(OR(03_CLEAN_DATA!E4&lt;$T$16,03_CLEAN_DATA!E4&gt;$U$16),"IQR ","")&amp;IF(ABS((03_CLEAN_DATA!E4-AVERAGE(03_CLEAN_DATA!$E$2:$E$17))/STDEV(03_CLEAN_DATA!$E$2:$E$17))&gt;$R$3," Z","")))</f>
        <v/>
      </c>
      <c r="L4" s="7" t="str">
        <f aca="false">IF(03_CLEAN_DATA!N4="","MISSING",TRIM(IF(OR(03_CLEAN_DATA!N4&lt;$T$17,03_CLEAN_DATA!N4&gt;$U$17),"IQR ","")&amp;IF(ABS((03_CLEAN_DATA!N4-AVERAGE(03_CLEAN_DATA!$N$2:$N$17))/STDEV(03_CLEAN_DATA!$N$2:$N$17))&gt;$R$3," Z","")))</f>
        <v/>
      </c>
      <c r="M4" s="7" t="str">
        <f aca="false">IF(03_CLEAN_DATA!O4="","MISSING",TRIM(IF(OR(03_CLEAN_DATA!O4&lt;$T$18,03_CLEAN_DATA!O4&gt;$U$18),"IQR ","")&amp;IF(ABS((03_CLEAN_DATA!O4-AVERAGE(03_CLEAN_DATA!$O$2:$O$17))/STDEV(03_CLEAN_DATA!$O$2:$O$17))&gt;$R$3," Z","")))</f>
        <v/>
      </c>
      <c r="N4" s="7" t="str">
        <f aca="false">IF(04_CALCULATIONS!E4="","MISSING",TRIM(IF(OR(04_CALCULATIONS!E4&lt;$T$19,04_CALCULATIONS!E4&gt;$U$19),"IQR ","")&amp;IF(ABS((04_CALCULATIONS!E4-AVERAGE(04_CALCULATIONS!$E$2:$E$17))/STDEV(04_CALCULATIONS!$E$2:$E$17))&gt;$R$3," Z","")))</f>
        <v/>
      </c>
      <c r="O4" s="7" t="str">
        <f aca="false">IF(03_CLEAN_DATA!L4="","MISSING",TRIM(IF(OR(03_CLEAN_DATA!L4&lt;$T$20,03_CLEAN_DATA!L4&gt;$U$20),"IQR ","")&amp;IF(ABS((03_CLEAN_DATA!L4-AVERAGE(03_CLEAN_DATA!$L$2:$L$17))/STDEV(03_CLEAN_DATA!$L$2:$L$17))&gt;$R$3," Z","")))</f>
        <v/>
      </c>
      <c r="Q4" s="7" t="s">
        <v>157</v>
      </c>
      <c r="R4" s="14" t="n">
        <v>2010</v>
      </c>
    </row>
    <row r="5" customFormat="false" ht="15" hidden="false" customHeight="false" outlineLevel="0" collapsed="false">
      <c r="A5" s="7" t="str">
        <f aca="false">03_CLEAN_DATA!A5</f>
        <v>Hungary</v>
      </c>
      <c r="B5" s="7" t="str">
        <f aca="false">03_CLEAN_DATA!B5</f>
        <v>HUN</v>
      </c>
      <c r="C5" s="7" t="n">
        <f aca="false">03_CLEAN_DATA!C5</f>
        <v>2013</v>
      </c>
      <c r="D5" s="11" t="n">
        <f aca="false">IF(C5=2010,IF(OR(03_CLEAN_DATA!H5="",INDEX($R$8:$R$11,MATCH(B5,$Q$8:$Q$11,0))=""),"",(03_CLEAN_DATA!H5/INDEX($R$8:$R$11,MATCH(B5,$Q$8:$Q$11,0))-1)*100),IF(OR(03_CLEAN_DATA!H5="",03_CLEAN_DATA!H4=""),"",(03_CLEAN_DATA!H5/03_CLEAN_DATA!H4-1)*100))</f>
        <v>4.07872405340364</v>
      </c>
      <c r="E5" s="11" t="n">
        <f aca="false">IF(OR(03_CLEAN_DATA!G5="",03_CLEAN_DATA!I5="",03_CLEAN_DATA!D5=""),"",(03_CLEAN_DATA!G5-03_CLEAN_DATA!I5)/03_CLEAN_DATA!D5*100)</f>
        <v>6.3115456226577</v>
      </c>
      <c r="F5" s="11" t="n">
        <f aca="false">IF(OR(03_CLEAN_DATA!G5="",03_CLEAN_DATA!I5="",03_CLEAN_DATA!D5=""),"",(03_CLEAN_DATA!G5+03_CLEAN_DATA!I5)/03_CLEAN_DATA!D5*100)</f>
        <v>164.476024791468</v>
      </c>
      <c r="G5" s="12" t="n">
        <f aca="false">IF(OR(F5="",03_CLEAN_DATA!L5=""),"",F5-03_CLEAN_DATA!L5)</f>
        <v>0</v>
      </c>
      <c r="H5" s="13" t="n">
        <f aca="false">IF(03_CLEAN_DATA!H5="","",03_CLEAN_DATA!H5/SUMIFS(03_CLEAN_DATA!$H$2:$H$65,03_CLEAN_DATA!$B$2:$B$65,B5,03_CLEAN_DATA!$C$2:$C$65,$R$4)*100)</f>
        <v>108.869807407059</v>
      </c>
      <c r="I5" s="7" t="str">
        <f aca="false">IF(C5&lt;=2019,"Pre-COVID (2010-2019)",IF(C5&lt;=2021,"COVID (2020-2021)","Post-COVID (2022-2025)"))</f>
        <v>Pre-COVID (2010-2019)</v>
      </c>
      <c r="J5" s="7" t="str">
        <f aca="false">IF(04_CALCULATIONS!D5="","MISSING",TRIM(IF(OR(04_CALCULATIONS!D5&lt;$T$15,04_CALCULATIONS!D5&gt;$U$15),"IQR ","")&amp;IF(ABS((04_CALCULATIONS!D5-AVERAGE(04_CALCULATIONS!$D$2:$D$17))/STDEV(04_CALCULATIONS!$D$2:$D$17))&gt;$R$3," Z","")&amp;IF($C5=2010," Rebound","")))</f>
        <v/>
      </c>
      <c r="K5" s="7" t="str">
        <f aca="false">IF(03_CLEAN_DATA!E5="","MISSING",TRIM(IF(OR(03_CLEAN_DATA!E5&lt;$T$16,03_CLEAN_DATA!E5&gt;$U$16),"IQR ","")&amp;IF(ABS((03_CLEAN_DATA!E5-AVERAGE(03_CLEAN_DATA!$E$2:$E$17))/STDEV(03_CLEAN_DATA!$E$2:$E$17))&gt;$R$3," Z","")))</f>
        <v/>
      </c>
      <c r="L5" s="7" t="str">
        <f aca="false">IF(03_CLEAN_DATA!N5="","MISSING",TRIM(IF(OR(03_CLEAN_DATA!N5&lt;$T$17,03_CLEAN_DATA!N5&gt;$U$17),"IQR ","")&amp;IF(ABS((03_CLEAN_DATA!N5-AVERAGE(03_CLEAN_DATA!$N$2:$N$17))/STDEV(03_CLEAN_DATA!$N$2:$N$17))&gt;$R$3," Z","")))</f>
        <v/>
      </c>
      <c r="M5" s="7" t="str">
        <f aca="false">IF(03_CLEAN_DATA!O5="","MISSING",TRIM(IF(OR(03_CLEAN_DATA!O5&lt;$T$18,03_CLEAN_DATA!O5&gt;$U$18),"IQR ","")&amp;IF(ABS((03_CLEAN_DATA!O5-AVERAGE(03_CLEAN_DATA!$O$2:$O$17))/STDEV(03_CLEAN_DATA!$O$2:$O$17))&gt;$R$3," Z","")))</f>
        <v/>
      </c>
      <c r="N5" s="7" t="str">
        <f aca="false">IF(04_CALCULATIONS!E5="","MISSING",TRIM(IF(OR(04_CALCULATIONS!E5&lt;$T$19,04_CALCULATIONS!E5&gt;$U$19),"IQR ","")&amp;IF(ABS((04_CALCULATIONS!E5-AVERAGE(04_CALCULATIONS!$E$2:$E$17))/STDEV(04_CALCULATIONS!$E$2:$E$17))&gt;$R$3," Z","")))</f>
        <v/>
      </c>
      <c r="O5" s="7" t="str">
        <f aca="false">IF(03_CLEAN_DATA!L5="","MISSING",TRIM(IF(OR(03_CLEAN_DATA!L5&lt;$T$20,03_CLEAN_DATA!L5&gt;$U$20),"IQR ","")&amp;IF(ABS((03_CLEAN_DATA!L5-AVERAGE(03_CLEAN_DATA!$L$2:$L$17))/STDEV(03_CLEAN_DATA!$L$2:$L$17))&gt;$R$3," Z","")))</f>
        <v/>
      </c>
    </row>
    <row r="6" customFormat="false" ht="15" hidden="false" customHeight="false" outlineLevel="0" collapsed="false">
      <c r="A6" s="7" t="str">
        <f aca="false">03_CLEAN_DATA!A6</f>
        <v>Hungary</v>
      </c>
      <c r="B6" s="7" t="str">
        <f aca="false">03_CLEAN_DATA!B6</f>
        <v>HUN</v>
      </c>
      <c r="C6" s="7" t="n">
        <f aca="false">03_CLEAN_DATA!C6</f>
        <v>2014</v>
      </c>
      <c r="D6" s="11" t="n">
        <f aca="false">IF(C6=2010,IF(OR(03_CLEAN_DATA!H6="",INDEX($R$8:$R$11,MATCH(B6,$Q$8:$Q$11,0))=""),"",(03_CLEAN_DATA!H6/INDEX($R$8:$R$11,MATCH(B6,$Q$8:$Q$11,0))-1)*100),IF(OR(03_CLEAN_DATA!H6="",03_CLEAN_DATA!H5=""),"",(03_CLEAN_DATA!H6/03_CLEAN_DATA!H5-1)*100))</f>
        <v>9.202076755496</v>
      </c>
      <c r="E6" s="11" t="n">
        <f aca="false">IF(OR(03_CLEAN_DATA!G6="",03_CLEAN_DATA!I6="",03_CLEAN_DATA!D6=""),"",(03_CLEAN_DATA!G6-03_CLEAN_DATA!I6)/03_CLEAN_DATA!D6*100)</f>
        <v>5.69597313412243</v>
      </c>
      <c r="F6" s="11" t="n">
        <f aca="false">IF(OR(03_CLEAN_DATA!G6="",03_CLEAN_DATA!I6="",03_CLEAN_DATA!D6=""),"",(03_CLEAN_DATA!G6+03_CLEAN_DATA!I6)/03_CLEAN_DATA!D6*100)</f>
        <v>168.358355086413</v>
      </c>
      <c r="G6" s="12" t="n">
        <f aca="false">IF(OR(F6="",03_CLEAN_DATA!L6=""),"",F6-03_CLEAN_DATA!L6)</f>
        <v>0</v>
      </c>
      <c r="H6" s="13" t="n">
        <f aca="false">IF(03_CLEAN_DATA!H6="","",03_CLEAN_DATA!H6/SUMIFS(03_CLEAN_DATA!$H$2:$H$65,03_CLEAN_DATA!$B$2:$B$65,B6,03_CLEAN_DATA!$C$2:$C$65,$R$4)*100)</f>
        <v>118.888090648217</v>
      </c>
      <c r="I6" s="7" t="str">
        <f aca="false">IF(C6&lt;=2019,"Pre-COVID (2010-2019)",IF(C6&lt;=2021,"COVID (2020-2021)","Post-COVID (2022-2025)"))</f>
        <v>Pre-COVID (2010-2019)</v>
      </c>
      <c r="J6" s="7" t="str">
        <f aca="false">IF(04_CALCULATIONS!D6="","MISSING",TRIM(IF(OR(04_CALCULATIONS!D6&lt;$T$15,04_CALCULATIONS!D6&gt;$U$15),"IQR ","")&amp;IF(ABS((04_CALCULATIONS!D6-AVERAGE(04_CALCULATIONS!$D$2:$D$17))/STDEV(04_CALCULATIONS!$D$2:$D$17))&gt;$R$3," Z","")&amp;IF($C6=2010," Rebound","")))</f>
        <v/>
      </c>
      <c r="K6" s="7" t="str">
        <f aca="false">IF(03_CLEAN_DATA!E6="","MISSING",TRIM(IF(OR(03_CLEAN_DATA!E6&lt;$T$16,03_CLEAN_DATA!E6&gt;$U$16),"IQR ","")&amp;IF(ABS((03_CLEAN_DATA!E6-AVERAGE(03_CLEAN_DATA!$E$2:$E$17))/STDEV(03_CLEAN_DATA!$E$2:$E$17))&gt;$R$3," Z","")))</f>
        <v/>
      </c>
      <c r="L6" s="7" t="str">
        <f aca="false">IF(03_CLEAN_DATA!N6="","MISSING",TRIM(IF(OR(03_CLEAN_DATA!N6&lt;$T$17,03_CLEAN_DATA!N6&gt;$U$17),"IQR ","")&amp;IF(ABS((03_CLEAN_DATA!N6-AVERAGE(03_CLEAN_DATA!$N$2:$N$17))/STDEV(03_CLEAN_DATA!$N$2:$N$17))&gt;$R$3," Z","")))</f>
        <v>IQR</v>
      </c>
      <c r="M6" s="7" t="str">
        <f aca="false">IF(03_CLEAN_DATA!O6="","MISSING",TRIM(IF(OR(03_CLEAN_DATA!O6&lt;$T$18,03_CLEAN_DATA!O6&gt;$U$18),"IQR ","")&amp;IF(ABS((03_CLEAN_DATA!O6-AVERAGE(03_CLEAN_DATA!$O$2:$O$17))/STDEV(03_CLEAN_DATA!$O$2:$O$17))&gt;$R$3," Z","")))</f>
        <v/>
      </c>
      <c r="N6" s="7" t="str">
        <f aca="false">IF(04_CALCULATIONS!E6="","MISSING",TRIM(IF(OR(04_CALCULATIONS!E6&lt;$T$19,04_CALCULATIONS!E6&gt;$U$19),"IQR ","")&amp;IF(ABS((04_CALCULATIONS!E6-AVERAGE(04_CALCULATIONS!$E$2:$E$17))/STDEV(04_CALCULATIONS!$E$2:$E$17))&gt;$R$3," Z","")))</f>
        <v/>
      </c>
      <c r="O6" s="7" t="str">
        <f aca="false">IF(03_CLEAN_DATA!L6="","MISSING",TRIM(IF(OR(03_CLEAN_DATA!L6&lt;$T$20,03_CLEAN_DATA!L6&gt;$U$20),"IQR ","")&amp;IF(ABS((03_CLEAN_DATA!L6-AVERAGE(03_CLEAN_DATA!$L$2:$L$17))/STDEV(03_CLEAN_DATA!$L$2:$L$17))&gt;$R$3," Z","")))</f>
        <v/>
      </c>
      <c r="Q6" s="4" t="s">
        <v>158</v>
      </c>
    </row>
    <row r="7" customFormat="false" ht="15" hidden="false" customHeight="false" outlineLevel="0" collapsed="false">
      <c r="A7" s="7" t="str">
        <f aca="false">03_CLEAN_DATA!A7</f>
        <v>Hungary</v>
      </c>
      <c r="B7" s="7" t="str">
        <f aca="false">03_CLEAN_DATA!B7</f>
        <v>HUN</v>
      </c>
      <c r="C7" s="7" t="n">
        <f aca="false">03_CLEAN_DATA!C7</f>
        <v>2015</v>
      </c>
      <c r="D7" s="11" t="n">
        <f aca="false">IF(C7=2010,IF(OR(03_CLEAN_DATA!H7="",INDEX($R$8:$R$11,MATCH(B7,$Q$8:$Q$11,0))=""),"",(03_CLEAN_DATA!H7/INDEX($R$8:$R$11,MATCH(B7,$Q$8:$Q$11,0))-1)*100),IF(OR(03_CLEAN_DATA!H7="",03_CLEAN_DATA!H6=""),"",(03_CLEAN_DATA!H7/03_CLEAN_DATA!H6-1)*100))</f>
        <v>7.36277102410805</v>
      </c>
      <c r="E7" s="11" t="n">
        <f aca="false">IF(OR(03_CLEAN_DATA!G7="",03_CLEAN_DATA!I7="",03_CLEAN_DATA!D7=""),"",(03_CLEAN_DATA!G7-03_CLEAN_DATA!I7)/03_CLEAN_DATA!D7*100)</f>
        <v>7.57902978025711</v>
      </c>
      <c r="F7" s="11" t="n">
        <f aca="false">IF(OR(03_CLEAN_DATA!G7="",03_CLEAN_DATA!I7="",03_CLEAN_DATA!D7=""),"",(03_CLEAN_DATA!G7+03_CLEAN_DATA!I7)/03_CLEAN_DATA!D7*100)</f>
        <v>167.290738494525</v>
      </c>
      <c r="G7" s="12" t="n">
        <f aca="false">IF(OR(F7="",03_CLEAN_DATA!L7=""),"",F7-03_CLEAN_DATA!L7)</f>
        <v>8.81072992342524E-013</v>
      </c>
      <c r="H7" s="13" t="n">
        <f aca="false">IF(03_CLEAN_DATA!H7="","",03_CLEAN_DATA!H7/SUMIFS(03_CLEAN_DATA!$H$2:$H$65,03_CLEAN_DATA!$B$2:$B$65,B7,03_CLEAN_DATA!$C$2:$C$65,$R$4)*100)</f>
        <v>127.641548537579</v>
      </c>
      <c r="I7" s="7" t="str">
        <f aca="false">IF(C7&lt;=2019,"Pre-COVID (2010-2019)",IF(C7&lt;=2021,"COVID (2020-2021)","Post-COVID (2022-2025)"))</f>
        <v>Pre-COVID (2010-2019)</v>
      </c>
      <c r="J7" s="7" t="str">
        <f aca="false">IF(04_CALCULATIONS!D7="","MISSING",TRIM(IF(OR(04_CALCULATIONS!D7&lt;$T$15,04_CALCULATIONS!D7&gt;$U$15),"IQR ","")&amp;IF(ABS((04_CALCULATIONS!D7-AVERAGE(04_CALCULATIONS!$D$2:$D$17))/STDEV(04_CALCULATIONS!$D$2:$D$17))&gt;$R$3," Z","")&amp;IF($C7=2010," Rebound","")))</f>
        <v/>
      </c>
      <c r="K7" s="7" t="str">
        <f aca="false">IF(03_CLEAN_DATA!E7="","MISSING",TRIM(IF(OR(03_CLEAN_DATA!E7&lt;$T$16,03_CLEAN_DATA!E7&gt;$U$16),"IQR ","")&amp;IF(ABS((03_CLEAN_DATA!E7-AVERAGE(03_CLEAN_DATA!$E$2:$E$17))/STDEV(03_CLEAN_DATA!$E$2:$E$17))&gt;$R$3," Z","")))</f>
        <v/>
      </c>
      <c r="L7" s="7" t="str">
        <f aca="false">IF(03_CLEAN_DATA!N7="","MISSING",TRIM(IF(OR(03_CLEAN_DATA!N7&lt;$T$17,03_CLEAN_DATA!N7&gt;$U$17),"IQR ","")&amp;IF(ABS((03_CLEAN_DATA!N7-AVERAGE(03_CLEAN_DATA!$N$2:$N$17))/STDEV(03_CLEAN_DATA!$N$2:$N$17))&gt;$R$3," Z","")))</f>
        <v>IQR</v>
      </c>
      <c r="M7" s="7" t="str">
        <f aca="false">IF(03_CLEAN_DATA!O7="","MISSING",TRIM(IF(OR(03_CLEAN_DATA!O7&lt;$T$18,03_CLEAN_DATA!O7&gt;$U$18),"IQR ","")&amp;IF(ABS((03_CLEAN_DATA!O7-AVERAGE(03_CLEAN_DATA!$O$2:$O$17))/STDEV(03_CLEAN_DATA!$O$2:$O$17))&gt;$R$3," Z","")))</f>
        <v/>
      </c>
      <c r="N7" s="7" t="str">
        <f aca="false">IF(04_CALCULATIONS!E7="","MISSING",TRIM(IF(OR(04_CALCULATIONS!E7&lt;$T$19,04_CALCULATIONS!E7&gt;$U$19),"IQR ","")&amp;IF(ABS((04_CALCULATIONS!E7-AVERAGE(04_CALCULATIONS!$E$2:$E$17))/STDEV(04_CALCULATIONS!$E$2:$E$17))&gt;$R$3," Z","")))</f>
        <v/>
      </c>
      <c r="O7" s="7" t="str">
        <f aca="false">IF(03_CLEAN_DATA!L7="","MISSING",TRIM(IF(OR(03_CLEAN_DATA!L7&lt;$T$20,03_CLEAN_DATA!L7&gt;$U$20),"IQR ","")&amp;IF(ABS((03_CLEAN_DATA!L7-AVERAGE(03_CLEAN_DATA!$L$2:$L$17))/STDEV(03_CLEAN_DATA!$L$2:$L$17))&gt;$R$3," Z","")))</f>
        <v/>
      </c>
      <c r="Q7" s="2" t="s">
        <v>138</v>
      </c>
      <c r="R7" s="2" t="s">
        <v>159</v>
      </c>
      <c r="S7" s="9" t="s">
        <v>160</v>
      </c>
    </row>
    <row r="8" customFormat="false" ht="15" hidden="false" customHeight="false" outlineLevel="0" collapsed="false">
      <c r="A8" s="7" t="str">
        <f aca="false">03_CLEAN_DATA!A8</f>
        <v>Hungary</v>
      </c>
      <c r="B8" s="7" t="str">
        <f aca="false">03_CLEAN_DATA!B8</f>
        <v>HUN</v>
      </c>
      <c r="C8" s="7" t="n">
        <f aca="false">03_CLEAN_DATA!C8</f>
        <v>2016</v>
      </c>
      <c r="D8" s="11" t="n">
        <f aca="false">IF(C8=2010,IF(OR(03_CLEAN_DATA!H8="",INDEX($R$8:$R$11,MATCH(B8,$Q$8:$Q$11,0))=""),"",(03_CLEAN_DATA!H8/INDEX($R$8:$R$11,MATCH(B8,$Q$8:$Q$11,0))-1)*100),IF(OR(03_CLEAN_DATA!H8="",03_CLEAN_DATA!H7=""),"",(03_CLEAN_DATA!H8/03_CLEAN_DATA!H7-1)*100))</f>
        <v>3.80222078404726</v>
      </c>
      <c r="E8" s="11" t="n">
        <f aca="false">IF(OR(03_CLEAN_DATA!G8="",03_CLEAN_DATA!I8="",03_CLEAN_DATA!D8=""),"",(03_CLEAN_DATA!G8-03_CLEAN_DATA!I8)/03_CLEAN_DATA!D8*100)</f>
        <v>8.2509824194741</v>
      </c>
      <c r="F8" s="11" t="n">
        <f aca="false">IF(OR(03_CLEAN_DATA!G8="",03_CLEAN_DATA!I8="",03_CLEAN_DATA!D8=""),"",(03_CLEAN_DATA!G8+03_CLEAN_DATA!I8)/03_CLEAN_DATA!D8*100)</f>
        <v>163.97194450015</v>
      </c>
      <c r="G8" s="12" t="n">
        <f aca="false">IF(OR(F8="",03_CLEAN_DATA!L8=""),"",F8-03_CLEAN_DATA!L8)</f>
        <v>0</v>
      </c>
      <c r="H8" s="13" t="n">
        <f aca="false">IF(03_CLEAN_DATA!H8="","",03_CLEAN_DATA!H8/SUMIFS(03_CLEAN_DATA!$H$2:$H$65,03_CLEAN_DATA!$B$2:$B$65,B8,03_CLEAN_DATA!$C$2:$C$65,$R$4)*100)</f>
        <v>132.494762025155</v>
      </c>
      <c r="I8" s="7" t="str">
        <f aca="false">IF(C8&lt;=2019,"Pre-COVID (2010-2019)",IF(C8&lt;=2021,"COVID (2020-2021)","Post-COVID (2022-2025)"))</f>
        <v>Pre-COVID (2010-2019)</v>
      </c>
      <c r="J8" s="7" t="str">
        <f aca="false">IF(04_CALCULATIONS!D8="","MISSING",TRIM(IF(OR(04_CALCULATIONS!D8&lt;$T$15,04_CALCULATIONS!D8&gt;$U$15),"IQR ","")&amp;IF(ABS((04_CALCULATIONS!D8-AVERAGE(04_CALCULATIONS!$D$2:$D$17))/STDEV(04_CALCULATIONS!$D$2:$D$17))&gt;$R$3," Z","")&amp;IF($C8=2010," Rebound","")))</f>
        <v/>
      </c>
      <c r="K8" s="7" t="str">
        <f aca="false">IF(03_CLEAN_DATA!E8="","MISSING",TRIM(IF(OR(03_CLEAN_DATA!E8&lt;$T$16,03_CLEAN_DATA!E8&gt;$U$16),"IQR ","")&amp;IF(ABS((03_CLEAN_DATA!E8-AVERAGE(03_CLEAN_DATA!$E$2:$E$17))/STDEV(03_CLEAN_DATA!$E$2:$E$17))&gt;$R$3," Z","")))</f>
        <v/>
      </c>
      <c r="L8" s="7" t="str">
        <f aca="false">IF(03_CLEAN_DATA!N8="","MISSING",TRIM(IF(OR(03_CLEAN_DATA!N8&lt;$T$17,03_CLEAN_DATA!N8&gt;$U$17),"IQR ","")&amp;IF(ABS((03_CLEAN_DATA!N8-AVERAGE(03_CLEAN_DATA!$N$2:$N$17))/STDEV(03_CLEAN_DATA!$N$2:$N$17))&gt;$R$3," Z","")))</f>
        <v>IQR</v>
      </c>
      <c r="M8" s="7" t="str">
        <f aca="false">IF(03_CLEAN_DATA!O8="","MISSING",TRIM(IF(OR(03_CLEAN_DATA!O8&lt;$T$18,03_CLEAN_DATA!O8&gt;$U$18),"IQR ","")&amp;IF(ABS((03_CLEAN_DATA!O8-AVERAGE(03_CLEAN_DATA!$O$2:$O$17))/STDEV(03_CLEAN_DATA!$O$2:$O$17))&gt;$R$3," Z","")))</f>
        <v/>
      </c>
      <c r="N8" s="7" t="str">
        <f aca="false">IF(04_CALCULATIONS!E8="","MISSING",TRIM(IF(OR(04_CALCULATIONS!E8&lt;$T$19,04_CALCULATIONS!E8&gt;$U$19),"IQR ","")&amp;IF(ABS((04_CALCULATIONS!E8-AVERAGE(04_CALCULATIONS!$E$2:$E$17))/STDEV(04_CALCULATIONS!$E$2:$E$17))&gt;$R$3," Z","")))</f>
        <v/>
      </c>
      <c r="O8" s="7" t="str">
        <f aca="false">IF(03_CLEAN_DATA!L8="","MISSING",TRIM(IF(OR(03_CLEAN_DATA!L8&lt;$T$20,03_CLEAN_DATA!L8&gt;$U$20),"IQR ","")&amp;IF(ABS((03_CLEAN_DATA!L8-AVERAGE(03_CLEAN_DATA!$L$2:$L$17))/STDEV(03_CLEAN_DATA!$L$2:$L$17))&gt;$R$3," Z","")))</f>
        <v/>
      </c>
      <c r="Q8" s="8" t="s">
        <v>128</v>
      </c>
      <c r="R8" s="10" t="n">
        <f aca="false">IF(COUNTIFS(02_RAW_DATA!$B$2:$B$57,Q8,02_RAW_DATA!$D$2:$D$57,01_README!$C$31,02_RAW_DATA!$E$2:$E$57,"&gt;-1E+300")=0,"",SUMIFS(02_RAW_DATA!$E$2:$E$57,02_RAW_DATA!$B$2:$B$57,Q8,02_RAW_DATA!$D$2:$D$57,01_README!$C$31))</f>
        <v>77208917713.0917</v>
      </c>
    </row>
    <row r="9" customFormat="false" ht="15" hidden="false" customHeight="false" outlineLevel="0" collapsed="false">
      <c r="A9" s="7" t="str">
        <f aca="false">03_CLEAN_DATA!A9</f>
        <v>Hungary</v>
      </c>
      <c r="B9" s="7" t="str">
        <f aca="false">03_CLEAN_DATA!B9</f>
        <v>HUN</v>
      </c>
      <c r="C9" s="7" t="n">
        <f aca="false">03_CLEAN_DATA!C9</f>
        <v>2017</v>
      </c>
      <c r="D9" s="11" t="n">
        <f aca="false">IF(C9=2010,IF(OR(03_CLEAN_DATA!H9="",INDEX($R$8:$R$11,MATCH(B9,$Q$8:$Q$11,0))=""),"",(03_CLEAN_DATA!H9/INDEX($R$8:$R$11,MATCH(B9,$Q$8:$Q$11,0))-1)*100),IF(OR(03_CLEAN_DATA!H9="",03_CLEAN_DATA!H8=""),"",(03_CLEAN_DATA!H9/03_CLEAN_DATA!H8-1)*100))</f>
        <v>6.47973024327728</v>
      </c>
      <c r="E9" s="11" t="n">
        <f aca="false">IF(OR(03_CLEAN_DATA!G9="",03_CLEAN_DATA!I9="",03_CLEAN_DATA!D9=""),"",(03_CLEAN_DATA!G9-03_CLEAN_DATA!I9)/03_CLEAN_DATA!D9*100)</f>
        <v>6.45945084962942</v>
      </c>
      <c r="F9" s="11" t="n">
        <f aca="false">IF(OR(03_CLEAN_DATA!G9="",03_CLEAN_DATA!I9="",03_CLEAN_DATA!D9=""),"",(03_CLEAN_DATA!G9+03_CLEAN_DATA!I9)/03_CLEAN_DATA!D9*100)</f>
        <v>165.032855840268</v>
      </c>
      <c r="G9" s="12" t="n">
        <f aca="false">IF(OR(F9="",03_CLEAN_DATA!L9=""),"",F9-03_CLEAN_DATA!L9)</f>
        <v>0</v>
      </c>
      <c r="H9" s="13" t="n">
        <f aca="false">IF(03_CLEAN_DATA!H9="","",03_CLEAN_DATA!H9/SUMIFS(03_CLEAN_DATA!$H$2:$H$65,03_CLEAN_DATA!$B$2:$B$65,B9,03_CLEAN_DATA!$C$2:$C$65,$R$4)*100)</f>
        <v>141.080065190857</v>
      </c>
      <c r="I9" s="7" t="str">
        <f aca="false">IF(C9&lt;=2019,"Pre-COVID (2010-2019)",IF(C9&lt;=2021,"COVID (2020-2021)","Post-COVID (2022-2025)"))</f>
        <v>Pre-COVID (2010-2019)</v>
      </c>
      <c r="J9" s="7" t="str">
        <f aca="false">IF(04_CALCULATIONS!D9="","MISSING",TRIM(IF(OR(04_CALCULATIONS!D9&lt;$T$15,04_CALCULATIONS!D9&gt;$U$15),"IQR ","")&amp;IF(ABS((04_CALCULATIONS!D9-AVERAGE(04_CALCULATIONS!$D$2:$D$17))/STDEV(04_CALCULATIONS!$D$2:$D$17))&gt;$R$3," Z","")&amp;IF($C9=2010," Rebound","")))</f>
        <v/>
      </c>
      <c r="K9" s="7" t="str">
        <f aca="false">IF(03_CLEAN_DATA!E9="","MISSING",TRIM(IF(OR(03_CLEAN_DATA!E9&lt;$T$16,03_CLEAN_DATA!E9&gt;$U$16),"IQR ","")&amp;IF(ABS((03_CLEAN_DATA!E9-AVERAGE(03_CLEAN_DATA!$E$2:$E$17))/STDEV(03_CLEAN_DATA!$E$2:$E$17))&gt;$R$3," Z","")))</f>
        <v/>
      </c>
      <c r="L9" s="7" t="str">
        <f aca="false">IF(03_CLEAN_DATA!N9="","MISSING",TRIM(IF(OR(03_CLEAN_DATA!N9&lt;$T$17,03_CLEAN_DATA!N9&gt;$U$17),"IQR ","")&amp;IF(ABS((03_CLEAN_DATA!N9-AVERAGE(03_CLEAN_DATA!$N$2:$N$17))/STDEV(03_CLEAN_DATA!$N$2:$N$17))&gt;$R$3," Z","")))</f>
        <v>IQR</v>
      </c>
      <c r="M9" s="7" t="str">
        <f aca="false">IF(03_CLEAN_DATA!O9="","MISSING",TRIM(IF(OR(03_CLEAN_DATA!O9&lt;$T$18,03_CLEAN_DATA!O9&gt;$U$18),"IQR ","")&amp;IF(ABS((03_CLEAN_DATA!O9-AVERAGE(03_CLEAN_DATA!$O$2:$O$17))/STDEV(03_CLEAN_DATA!$O$2:$O$17))&gt;$R$3," Z","")))</f>
        <v/>
      </c>
      <c r="N9" s="7" t="str">
        <f aca="false">IF(04_CALCULATIONS!E9="","MISSING",TRIM(IF(OR(04_CALCULATIONS!E9&lt;$T$19,04_CALCULATIONS!E9&gt;$U$19),"IQR ","")&amp;IF(ABS((04_CALCULATIONS!E9-AVERAGE(04_CALCULATIONS!$E$2:$E$17))/STDEV(04_CALCULATIONS!$E$2:$E$17))&gt;$R$3," Z","")))</f>
        <v/>
      </c>
      <c r="O9" s="7" t="str">
        <f aca="false">IF(03_CLEAN_DATA!L9="","MISSING",TRIM(IF(OR(03_CLEAN_DATA!L9&lt;$T$20,03_CLEAN_DATA!L9&gt;$U$20),"IQR ","")&amp;IF(ABS((03_CLEAN_DATA!L9-AVERAGE(03_CLEAN_DATA!$L$2:$L$17))/STDEV(03_CLEAN_DATA!$L$2:$L$17))&gt;$R$3," Z","")))</f>
        <v/>
      </c>
      <c r="Q9" s="8" t="s">
        <v>130</v>
      </c>
      <c r="R9" s="10" t="n">
        <f aca="false">IF(COUNTIFS(02_RAW_DATA!$B$2:$B$57,Q9,02_RAW_DATA!$D$2:$D$57,01_README!$C$31,02_RAW_DATA!$E$2:$E$57,"&gt;-1E+300")=0,"",SUMIFS(02_RAW_DATA!$E$2:$E$57,02_RAW_DATA!$B$2:$B$57,Q9,02_RAW_DATA!$D$2:$D$57,01_README!$C$31))</f>
        <v>151988035548.481</v>
      </c>
    </row>
    <row r="10" customFormat="false" ht="15" hidden="false" customHeight="false" outlineLevel="0" collapsed="false">
      <c r="A10" s="7" t="str">
        <f aca="false">03_CLEAN_DATA!A10</f>
        <v>Hungary</v>
      </c>
      <c r="B10" s="7" t="str">
        <f aca="false">03_CLEAN_DATA!B10</f>
        <v>HUN</v>
      </c>
      <c r="C10" s="7" t="n">
        <f aca="false">03_CLEAN_DATA!C10</f>
        <v>2018</v>
      </c>
      <c r="D10" s="11" t="n">
        <f aca="false">IF(C10=2010,IF(OR(03_CLEAN_DATA!H10="",INDEX($R$8:$R$11,MATCH(B10,$Q$8:$Q$11,0))=""),"",(03_CLEAN_DATA!H10/INDEX($R$8:$R$11,MATCH(B10,$Q$8:$Q$11,0))-1)*100),IF(OR(03_CLEAN_DATA!H10="",03_CLEAN_DATA!H9=""),"",(03_CLEAN_DATA!H10/03_CLEAN_DATA!H9-1)*100))</f>
        <v>4.99049357978845</v>
      </c>
      <c r="E10" s="11" t="n">
        <f aca="false">IF(OR(03_CLEAN_DATA!G10="",03_CLEAN_DATA!I10="",03_CLEAN_DATA!D10=""),"",(03_CLEAN_DATA!G10-03_CLEAN_DATA!I10)/03_CLEAN_DATA!D10*100)</f>
        <v>4.09270022232619</v>
      </c>
      <c r="F10" s="11" t="n">
        <f aca="false">IF(OR(03_CLEAN_DATA!G10="",03_CLEAN_DATA!I10="",03_CLEAN_DATA!D10=""),"",(03_CLEAN_DATA!G10+03_CLEAN_DATA!I10)/03_CLEAN_DATA!D10*100)</f>
        <v>162.700858777924</v>
      </c>
      <c r="G10" s="12" t="n">
        <f aca="false">IF(OR(F10="",03_CLEAN_DATA!L10=""),"",F10-03_CLEAN_DATA!L10)</f>
        <v>-8.81072992342524E-013</v>
      </c>
      <c r="H10" s="13" t="n">
        <f aca="false">IF(03_CLEAN_DATA!H10="","",03_CLEAN_DATA!H10/SUMIFS(03_CLEAN_DATA!$H$2:$H$65,03_CLEAN_DATA!$B$2:$B$65,B10,03_CLEAN_DATA!$C$2:$C$65,$R$4)*100)</f>
        <v>148.120656786568</v>
      </c>
      <c r="I10" s="7" t="str">
        <f aca="false">IF(C10&lt;=2019,"Pre-COVID (2010-2019)",IF(C10&lt;=2021,"COVID (2020-2021)","Post-COVID (2022-2025)"))</f>
        <v>Pre-COVID (2010-2019)</v>
      </c>
      <c r="J10" s="7" t="str">
        <f aca="false">IF(04_CALCULATIONS!D10="","MISSING",TRIM(IF(OR(04_CALCULATIONS!D10&lt;$T$15,04_CALCULATIONS!D10&gt;$U$15),"IQR ","")&amp;IF(ABS((04_CALCULATIONS!D10-AVERAGE(04_CALCULATIONS!$D$2:$D$17))/STDEV(04_CALCULATIONS!$D$2:$D$17))&gt;$R$3," Z","")&amp;IF($C10=2010," Rebound","")))</f>
        <v/>
      </c>
      <c r="K10" s="7" t="str">
        <f aca="false">IF(03_CLEAN_DATA!E10="","MISSING",TRIM(IF(OR(03_CLEAN_DATA!E10&lt;$T$16,03_CLEAN_DATA!E10&gt;$U$16),"IQR ","")&amp;IF(ABS((03_CLEAN_DATA!E10-AVERAGE(03_CLEAN_DATA!$E$2:$E$17))/STDEV(03_CLEAN_DATA!$E$2:$E$17))&gt;$R$3," Z","")))</f>
        <v/>
      </c>
      <c r="L10" s="7" t="str">
        <f aca="false">IF(03_CLEAN_DATA!N10="","MISSING",TRIM(IF(OR(03_CLEAN_DATA!N10&lt;$T$17,03_CLEAN_DATA!N10&gt;$U$17),"IQR ","")&amp;IF(ABS((03_CLEAN_DATA!N10-AVERAGE(03_CLEAN_DATA!$N$2:$N$17))/STDEV(03_CLEAN_DATA!$N$2:$N$17))&gt;$R$3," Z","")))</f>
        <v>IQR</v>
      </c>
      <c r="M10" s="7" t="str">
        <f aca="false">IF(03_CLEAN_DATA!O10="","MISSING",TRIM(IF(OR(03_CLEAN_DATA!O10&lt;$T$18,03_CLEAN_DATA!O10&gt;$U$18),"IQR ","")&amp;IF(ABS((03_CLEAN_DATA!O10-AVERAGE(03_CLEAN_DATA!$O$2:$O$17))/STDEV(03_CLEAN_DATA!$O$2:$O$17))&gt;$R$3," Z","")))</f>
        <v/>
      </c>
      <c r="N10" s="7" t="str">
        <f aca="false">IF(04_CALCULATIONS!E10="","MISSING",TRIM(IF(OR(04_CALCULATIONS!E10&lt;$T$19,04_CALCULATIONS!E10&gt;$U$19),"IQR ","")&amp;IF(ABS((04_CALCULATIONS!E10-AVERAGE(04_CALCULATIONS!$E$2:$E$17))/STDEV(04_CALCULATIONS!$E$2:$E$17))&gt;$R$3," Z","")))</f>
        <v/>
      </c>
      <c r="O10" s="7" t="str">
        <f aca="false">IF(03_CLEAN_DATA!L10="","MISSING",TRIM(IF(OR(03_CLEAN_DATA!L10&lt;$T$20,03_CLEAN_DATA!L10&gt;$U$20),"IQR ","")&amp;IF(ABS((03_CLEAN_DATA!L10-AVERAGE(03_CLEAN_DATA!$L$2:$L$17))/STDEV(03_CLEAN_DATA!$L$2:$L$17))&gt;$R$3," Z","")))</f>
        <v/>
      </c>
      <c r="Q10" s="8" t="s">
        <v>132</v>
      </c>
      <c r="R10" s="10" t="n">
        <f aca="false">IF(COUNTIFS(02_RAW_DATA!$B$2:$B$57,Q10,02_RAW_DATA!$D$2:$D$57,01_README!$C$31,02_RAW_DATA!$E$2:$E$57,"&gt;-1E+300")=0,"",SUMIFS(02_RAW_DATA!$E$2:$E$57,02_RAW_DATA!$B$2:$B$57,Q10,02_RAW_DATA!$D$2:$D$57,01_README!$C$31))</f>
        <v>100411858591.087</v>
      </c>
    </row>
    <row r="11" customFormat="false" ht="15" hidden="false" customHeight="false" outlineLevel="0" collapsed="false">
      <c r="A11" s="7" t="str">
        <f aca="false">03_CLEAN_DATA!A11</f>
        <v>Hungary</v>
      </c>
      <c r="B11" s="7" t="str">
        <f aca="false">03_CLEAN_DATA!B11</f>
        <v>HUN</v>
      </c>
      <c r="C11" s="7" t="n">
        <f aca="false">03_CLEAN_DATA!C11</f>
        <v>2019</v>
      </c>
      <c r="D11" s="11" t="n">
        <f aca="false">IF(C11=2010,IF(OR(03_CLEAN_DATA!H11="",INDEX($R$8:$R$11,MATCH(B11,$Q$8:$Q$11,0))=""),"",(03_CLEAN_DATA!H11/INDEX($R$8:$R$11,MATCH(B11,$Q$8:$Q$11,0))-1)*100),IF(OR(03_CLEAN_DATA!H11="",03_CLEAN_DATA!H10=""),"",(03_CLEAN_DATA!H11/03_CLEAN_DATA!H10-1)*100))</f>
        <v>5.45703801235722</v>
      </c>
      <c r="E11" s="11" t="n">
        <f aca="false">IF(OR(03_CLEAN_DATA!G11="",03_CLEAN_DATA!I11="",03_CLEAN_DATA!D11=""),"",(03_CLEAN_DATA!G11-03_CLEAN_DATA!I11)/03_CLEAN_DATA!D11*100)</f>
        <v>2.20584492909721</v>
      </c>
      <c r="F11" s="11" t="n">
        <f aca="false">IF(OR(03_CLEAN_DATA!G11="",03_CLEAN_DATA!I11="",03_CLEAN_DATA!D11=""),"",(03_CLEAN_DATA!G11+03_CLEAN_DATA!I11)/03_CLEAN_DATA!D11*100)</f>
        <v>159.925556464831</v>
      </c>
      <c r="G11" s="12" t="n">
        <f aca="false">IF(OR(F11="",03_CLEAN_DATA!L11=""),"",F11-03_CLEAN_DATA!L11)</f>
        <v>0</v>
      </c>
      <c r="H11" s="13" t="n">
        <f aca="false">IF(03_CLEAN_DATA!H11="","",03_CLEAN_DATA!H11/SUMIFS(03_CLEAN_DATA!$H$2:$H$65,03_CLEAN_DATA!$B$2:$B$65,B11,03_CLEAN_DATA!$C$2:$C$65,$R$4)*100)</f>
        <v>156.203657331564</v>
      </c>
      <c r="I11" s="7" t="str">
        <f aca="false">IF(C11&lt;=2019,"Pre-COVID (2010-2019)",IF(C11&lt;=2021,"COVID (2020-2021)","Post-COVID (2022-2025)"))</f>
        <v>Pre-COVID (2010-2019)</v>
      </c>
      <c r="J11" s="7" t="str">
        <f aca="false">IF(04_CALCULATIONS!D11="","MISSING",TRIM(IF(OR(04_CALCULATIONS!D11&lt;$T$15,04_CALCULATIONS!D11&gt;$U$15),"IQR ","")&amp;IF(ABS((04_CALCULATIONS!D11-AVERAGE(04_CALCULATIONS!$D$2:$D$17))/STDEV(04_CALCULATIONS!$D$2:$D$17))&gt;$R$3," Z","")&amp;IF($C11=2010," Rebound","")))</f>
        <v/>
      </c>
      <c r="K11" s="7" t="str">
        <f aca="false">IF(03_CLEAN_DATA!E11="","MISSING",TRIM(IF(OR(03_CLEAN_DATA!E11&lt;$T$16,03_CLEAN_DATA!E11&gt;$U$16),"IQR ","")&amp;IF(ABS((03_CLEAN_DATA!E11-AVERAGE(03_CLEAN_DATA!$E$2:$E$17))/STDEV(03_CLEAN_DATA!$E$2:$E$17))&gt;$R$3," Z","")))</f>
        <v/>
      </c>
      <c r="L11" s="7" t="str">
        <f aca="false">IF(03_CLEAN_DATA!N11="","MISSING",TRIM(IF(OR(03_CLEAN_DATA!N11&lt;$T$17,03_CLEAN_DATA!N11&gt;$U$17),"IQR ","")&amp;IF(ABS((03_CLEAN_DATA!N11-AVERAGE(03_CLEAN_DATA!$N$2:$N$17))/STDEV(03_CLEAN_DATA!$N$2:$N$17))&gt;$R$3," Z","")))</f>
        <v>IQR</v>
      </c>
      <c r="M11" s="7" t="str">
        <f aca="false">IF(03_CLEAN_DATA!O11="","MISSING",TRIM(IF(OR(03_CLEAN_DATA!O11&lt;$T$18,03_CLEAN_DATA!O11&gt;$U$18),"IQR ","")&amp;IF(ABS((03_CLEAN_DATA!O11-AVERAGE(03_CLEAN_DATA!$O$2:$O$17))/STDEV(03_CLEAN_DATA!$O$2:$O$17))&gt;$R$3," Z","")))</f>
        <v/>
      </c>
      <c r="N11" s="7" t="str">
        <f aca="false">IF(04_CALCULATIONS!E11="","MISSING",TRIM(IF(OR(04_CALCULATIONS!E11&lt;$T$19,04_CALCULATIONS!E11&gt;$U$19),"IQR ","")&amp;IF(ABS((04_CALCULATIONS!E11-AVERAGE(04_CALCULATIONS!$E$2:$E$17))/STDEV(04_CALCULATIONS!$E$2:$E$17))&gt;$R$3," Z","")))</f>
        <v/>
      </c>
      <c r="O11" s="7" t="str">
        <f aca="false">IF(03_CLEAN_DATA!L11="","MISSING",TRIM(IF(OR(03_CLEAN_DATA!L11&lt;$T$20,03_CLEAN_DATA!L11&gt;$U$20),"IQR ","")&amp;IF(ABS((03_CLEAN_DATA!L11-AVERAGE(03_CLEAN_DATA!$L$2:$L$17))/STDEV(03_CLEAN_DATA!$L$2:$L$17))&gt;$R$3," Z","")))</f>
        <v/>
      </c>
      <c r="Q11" s="8" t="s">
        <v>134</v>
      </c>
      <c r="R11" s="10" t="n">
        <f aca="false">IF(COUNTIFS(02_RAW_DATA!$B$2:$B$57,Q11,02_RAW_DATA!$D$2:$D$57,01_README!$C$31,02_RAW_DATA!$E$2:$E$57,"&gt;-1E+300")=0,"",SUMIFS(02_RAW_DATA!$E$2:$E$57,02_RAW_DATA!$B$2:$B$57,Q11,02_RAW_DATA!$D$2:$D$57,01_README!$C$31))</f>
        <v>49041545095.3502</v>
      </c>
    </row>
    <row r="12" customFormat="false" ht="15" hidden="false" customHeight="false" outlineLevel="0" collapsed="false">
      <c r="A12" s="7" t="str">
        <f aca="false">03_CLEAN_DATA!A12</f>
        <v>Hungary</v>
      </c>
      <c r="B12" s="7" t="str">
        <f aca="false">03_CLEAN_DATA!B12</f>
        <v>HUN</v>
      </c>
      <c r="C12" s="7" t="n">
        <f aca="false">03_CLEAN_DATA!C12</f>
        <v>2020</v>
      </c>
      <c r="D12" s="11" t="n">
        <f aca="false">IF(C12=2010,IF(OR(03_CLEAN_DATA!H12="",INDEX($R$8:$R$11,MATCH(B12,$Q$8:$Q$11,0))=""),"",(03_CLEAN_DATA!H12/INDEX($R$8:$R$11,MATCH(B12,$Q$8:$Q$11,0))-1)*100),IF(OR(03_CLEAN_DATA!H12="",03_CLEAN_DATA!H11=""),"",(03_CLEAN_DATA!H12/03_CLEAN_DATA!H11-1)*100))</f>
        <v>-6.14474551665293</v>
      </c>
      <c r="E12" s="11" t="n">
        <f aca="false">IF(OR(03_CLEAN_DATA!G12="",03_CLEAN_DATA!I12="",03_CLEAN_DATA!D12=""),"",(03_CLEAN_DATA!G12-03_CLEAN_DATA!I12)/03_CLEAN_DATA!D12*100)</f>
        <v>1.64886055223293</v>
      </c>
      <c r="F12" s="11" t="n">
        <f aca="false">IF(OR(03_CLEAN_DATA!G12="",03_CLEAN_DATA!I12="",03_CLEAN_DATA!D12=""),"",(03_CLEAN_DATA!G12+03_CLEAN_DATA!I12)/03_CLEAN_DATA!D12*100)</f>
        <v>154.527002936377</v>
      </c>
      <c r="G12" s="12" t="n">
        <f aca="false">IF(OR(F12="",03_CLEAN_DATA!L12=""),"",F12-03_CLEAN_DATA!L12)</f>
        <v>0</v>
      </c>
      <c r="H12" s="13" t="n">
        <f aca="false">IF(03_CLEAN_DATA!H12="","",03_CLEAN_DATA!H12/SUMIFS(03_CLEAN_DATA!$H$2:$H$65,03_CLEAN_DATA!$B$2:$B$65,B12,03_CLEAN_DATA!$C$2:$C$65,$R$4)*100)</f>
        <v>146.605340100835</v>
      </c>
      <c r="I12" s="7" t="str">
        <f aca="false">IF(C12&lt;=2019,"Pre-COVID (2010-2019)",IF(C12&lt;=2021,"COVID (2020-2021)","Post-COVID (2022-2025)"))</f>
        <v>COVID (2020-2021)</v>
      </c>
      <c r="J12" s="7" t="str">
        <f aca="false">IF(04_CALCULATIONS!D12="","MISSING",TRIM(IF(OR(04_CALCULATIONS!D12&lt;$T$15,04_CALCULATIONS!D12&gt;$U$15),"IQR ","")&amp;IF(ABS((04_CALCULATIONS!D12-AVERAGE(04_CALCULATIONS!$D$2:$D$17))/STDEV(04_CALCULATIONS!$D$2:$D$17))&gt;$R$3," Z","")&amp;IF($C12=2010," Rebound","")))</f>
        <v>IQR</v>
      </c>
      <c r="K12" s="7" t="str">
        <f aca="false">IF(03_CLEAN_DATA!E12="","MISSING",TRIM(IF(OR(03_CLEAN_DATA!E12&lt;$T$16,03_CLEAN_DATA!E12&gt;$U$16),"IQR ","")&amp;IF(ABS((03_CLEAN_DATA!E12-AVERAGE(03_CLEAN_DATA!$E$2:$E$17))/STDEV(03_CLEAN_DATA!$E$2:$E$17))&gt;$R$3," Z","")))</f>
        <v>IQR</v>
      </c>
      <c r="L12" s="7" t="str">
        <f aca="false">IF(03_CLEAN_DATA!N12="","MISSING",TRIM(IF(OR(03_CLEAN_DATA!N12&lt;$T$17,03_CLEAN_DATA!N12&gt;$U$17),"IQR ","")&amp;IF(ABS((03_CLEAN_DATA!N12-AVERAGE(03_CLEAN_DATA!$N$2:$N$17))/STDEV(03_CLEAN_DATA!$N$2:$N$17))&gt;$R$3," Z","")))</f>
        <v>IQR Z</v>
      </c>
      <c r="M12" s="7" t="str">
        <f aca="false">IF(03_CLEAN_DATA!O12="","MISSING",TRIM(IF(OR(03_CLEAN_DATA!O12&lt;$T$18,03_CLEAN_DATA!O12&gt;$U$18),"IQR ","")&amp;IF(ABS((03_CLEAN_DATA!O12-AVERAGE(03_CLEAN_DATA!$O$2:$O$17))/STDEV(03_CLEAN_DATA!$O$2:$O$17))&gt;$R$3," Z","")))</f>
        <v/>
      </c>
      <c r="N12" s="7" t="str">
        <f aca="false">IF(04_CALCULATIONS!E12="","MISSING",TRIM(IF(OR(04_CALCULATIONS!E12&lt;$T$19,04_CALCULATIONS!E12&gt;$U$19),"IQR ","")&amp;IF(ABS((04_CALCULATIONS!E12-AVERAGE(04_CALCULATIONS!$E$2:$E$17))/STDEV(04_CALCULATIONS!$E$2:$E$17))&gt;$R$3," Z","")))</f>
        <v/>
      </c>
      <c r="O12" s="7" t="str">
        <f aca="false">IF(03_CLEAN_DATA!L12="","MISSING",TRIM(IF(OR(03_CLEAN_DATA!L12&lt;$T$20,03_CLEAN_DATA!L12&gt;$U$20),"IQR ","")&amp;IF(ABS((03_CLEAN_DATA!L12-AVERAGE(03_CLEAN_DATA!$L$2:$L$17))/STDEV(03_CLEAN_DATA!$L$2:$L$17))&gt;$R$3," Z","")))</f>
        <v/>
      </c>
    </row>
    <row r="13" customFormat="false" ht="15" hidden="false" customHeight="false" outlineLevel="0" collapsed="false">
      <c r="A13" s="7" t="str">
        <f aca="false">03_CLEAN_DATA!A13</f>
        <v>Hungary</v>
      </c>
      <c r="B13" s="7" t="str">
        <f aca="false">03_CLEAN_DATA!B13</f>
        <v>HUN</v>
      </c>
      <c r="C13" s="7" t="n">
        <f aca="false">03_CLEAN_DATA!C13</f>
        <v>2021</v>
      </c>
      <c r="D13" s="11" t="n">
        <f aca="false">IF(C13=2010,IF(OR(03_CLEAN_DATA!H13="",INDEX($R$8:$R$11,MATCH(B13,$Q$8:$Q$11,0))=""),"",(03_CLEAN_DATA!H13/INDEX($R$8:$R$11,MATCH(B13,$Q$8:$Q$11,0))-1)*100),IF(OR(03_CLEAN_DATA!H13="",03_CLEAN_DATA!H12=""),"",(03_CLEAN_DATA!H13/03_CLEAN_DATA!H12-1)*100))</f>
        <v>8.24041022512709</v>
      </c>
      <c r="E13" s="11" t="n">
        <f aca="false">IF(OR(03_CLEAN_DATA!G13="",03_CLEAN_DATA!I13="",03_CLEAN_DATA!D13=""),"",(03_CLEAN_DATA!G13-03_CLEAN_DATA!I13)/03_CLEAN_DATA!D13*100)</f>
        <v>-0.364658568558582</v>
      </c>
      <c r="F13" s="11" t="n">
        <f aca="false">IF(OR(03_CLEAN_DATA!G13="",03_CLEAN_DATA!I13="",03_CLEAN_DATA!D13=""),"",(03_CLEAN_DATA!G13+03_CLEAN_DATA!I13)/03_CLEAN_DATA!D13*100)</f>
        <v>159.187527332834</v>
      </c>
      <c r="G13" s="12" t="n">
        <f aca="false">IF(OR(F13="",03_CLEAN_DATA!L13=""),"",F13-03_CLEAN_DATA!L13)</f>
        <v>0</v>
      </c>
      <c r="H13" s="13" t="n">
        <f aca="false">IF(03_CLEAN_DATA!H13="","",03_CLEAN_DATA!H13/SUMIFS(03_CLEAN_DATA!$H$2:$H$65,03_CLEAN_DATA!$B$2:$B$65,B13,03_CLEAN_DATA!$C$2:$C$65,$R$4)*100)</f>
        <v>158.686221537087</v>
      </c>
      <c r="I13" s="7" t="str">
        <f aca="false">IF(C13&lt;=2019,"Pre-COVID (2010-2019)",IF(C13&lt;=2021,"COVID (2020-2021)","Post-COVID (2022-2025)"))</f>
        <v>COVID (2020-2021)</v>
      </c>
      <c r="J13" s="7" t="str">
        <f aca="false">IF(04_CALCULATIONS!D13="","MISSING",TRIM(IF(OR(04_CALCULATIONS!D13&lt;$T$15,04_CALCULATIONS!D13&gt;$U$15),"IQR ","")&amp;IF(ABS((04_CALCULATIONS!D13-AVERAGE(04_CALCULATIONS!$D$2:$D$17))/STDEV(04_CALCULATIONS!$D$2:$D$17))&gt;$R$3," Z","")&amp;IF($C13=2010," Rebound","")))</f>
        <v/>
      </c>
      <c r="K13" s="7" t="str">
        <f aca="false">IF(03_CLEAN_DATA!E13="","MISSING",TRIM(IF(OR(03_CLEAN_DATA!E13&lt;$T$16,03_CLEAN_DATA!E13&gt;$U$16),"IQR ","")&amp;IF(ABS((03_CLEAN_DATA!E13-AVERAGE(03_CLEAN_DATA!$E$2:$E$17))/STDEV(03_CLEAN_DATA!$E$2:$E$17))&gt;$R$3," Z","")))</f>
        <v/>
      </c>
      <c r="L13" s="7" t="str">
        <f aca="false">IF(03_CLEAN_DATA!N13="","MISSING",TRIM(IF(OR(03_CLEAN_DATA!N13&lt;$T$17,03_CLEAN_DATA!N13&gt;$U$17),"IQR ","")&amp;IF(ABS((03_CLEAN_DATA!N13-AVERAGE(03_CLEAN_DATA!$N$2:$N$17))/STDEV(03_CLEAN_DATA!$N$2:$N$17))&gt;$R$3," Z","")))</f>
        <v>IQR</v>
      </c>
      <c r="M13" s="7" t="str">
        <f aca="false">IF(03_CLEAN_DATA!O13="","MISSING",TRIM(IF(OR(03_CLEAN_DATA!O13&lt;$T$18,03_CLEAN_DATA!O13&gt;$U$18),"IQR ","")&amp;IF(ABS((03_CLEAN_DATA!O13-AVERAGE(03_CLEAN_DATA!$O$2:$O$17))/STDEV(03_CLEAN_DATA!$O$2:$O$17))&gt;$R$3," Z","")))</f>
        <v/>
      </c>
      <c r="N13" s="7" t="str">
        <f aca="false">IF(04_CALCULATIONS!E13="","MISSING",TRIM(IF(OR(04_CALCULATIONS!E13&lt;$T$19,04_CALCULATIONS!E13&gt;$U$19),"IQR ","")&amp;IF(ABS((04_CALCULATIONS!E13-AVERAGE(04_CALCULATIONS!$E$2:$E$17))/STDEV(04_CALCULATIONS!$E$2:$E$17))&gt;$R$3," Z","")))</f>
        <v/>
      </c>
      <c r="O13" s="7" t="str">
        <f aca="false">IF(03_CLEAN_DATA!L13="","MISSING",TRIM(IF(OR(03_CLEAN_DATA!L13&lt;$T$20,03_CLEAN_DATA!L13&gt;$U$20),"IQR ","")&amp;IF(ABS((03_CLEAN_DATA!L13-AVERAGE(03_CLEAN_DATA!$L$2:$L$17))/STDEV(03_CLEAN_DATA!$L$2:$L$17))&gt;$R$3," Z","")))</f>
        <v/>
      </c>
      <c r="Q13" s="4" t="s">
        <v>161</v>
      </c>
    </row>
    <row r="14" customFormat="false" ht="15" hidden="false" customHeight="false" outlineLevel="0" collapsed="false">
      <c r="A14" s="7" t="str">
        <f aca="false">03_CLEAN_DATA!A14</f>
        <v>Hungary</v>
      </c>
      <c r="B14" s="7" t="str">
        <f aca="false">03_CLEAN_DATA!B14</f>
        <v>HUN</v>
      </c>
      <c r="C14" s="7" t="n">
        <f aca="false">03_CLEAN_DATA!C14</f>
        <v>2022</v>
      </c>
      <c r="D14" s="11" t="n">
        <f aca="false">IF(C14=2010,IF(OR(03_CLEAN_DATA!H14="",INDEX($R$8:$R$11,MATCH(B14,$Q$8:$Q$11,0))=""),"",(03_CLEAN_DATA!H14/INDEX($R$8:$R$11,MATCH(B14,$Q$8:$Q$11,0))-1)*100),IF(OR(03_CLEAN_DATA!H14="",03_CLEAN_DATA!H13=""),"",(03_CLEAN_DATA!H14/03_CLEAN_DATA!H13-1)*100))</f>
        <v>10.7363500978317</v>
      </c>
      <c r="E14" s="11" t="n">
        <f aca="false">IF(OR(03_CLEAN_DATA!G14="",03_CLEAN_DATA!I14="",03_CLEAN_DATA!D14=""),"",(03_CLEAN_DATA!G14-03_CLEAN_DATA!I14)/03_CLEAN_DATA!D14*100)</f>
        <v>-5.34968205814709</v>
      </c>
      <c r="F14" s="11" t="n">
        <f aca="false">IF(OR(03_CLEAN_DATA!G14="",03_CLEAN_DATA!I14="",03_CLEAN_DATA!D14=""),"",(03_CLEAN_DATA!G14+03_CLEAN_DATA!I14)/03_CLEAN_DATA!D14*100)</f>
        <v>184.969952581352</v>
      </c>
      <c r="G14" s="12" t="n">
        <f aca="false">IF(OR(F14="",03_CLEAN_DATA!L14=""),"",F14-03_CLEAN_DATA!L14)</f>
        <v>0</v>
      </c>
      <c r="H14" s="13" t="n">
        <f aca="false">IF(03_CLEAN_DATA!H14="","",03_CLEAN_DATA!H14/SUMIFS(03_CLEAN_DATA!$H$2:$H$65,03_CLEAN_DATA!$B$2:$B$65,B14,03_CLEAN_DATA!$C$2:$C$65,$R$4)*100)</f>
        <v>175.723329838329</v>
      </c>
      <c r="I14" s="7" t="str">
        <f aca="false">IF(C14&lt;=2019,"Pre-COVID (2010-2019)",IF(C14&lt;=2021,"COVID (2020-2021)","Post-COVID (2022-2025)"))</f>
        <v>Post-COVID (2022-2025)</v>
      </c>
      <c r="J14" s="7" t="str">
        <f aca="false">IF(04_CALCULATIONS!D14="","MISSING",TRIM(IF(OR(04_CALCULATIONS!D14&lt;$T$15,04_CALCULATIONS!D14&gt;$U$15),"IQR ","")&amp;IF(ABS((04_CALCULATIONS!D14-AVERAGE(04_CALCULATIONS!$D$2:$D$17))/STDEV(04_CALCULATIONS!$D$2:$D$17))&gt;$R$3," Z","")&amp;IF($C14=2010," Rebound","")))</f>
        <v/>
      </c>
      <c r="K14" s="7" t="str">
        <f aca="false">IF(03_CLEAN_DATA!E14="","MISSING",TRIM(IF(OR(03_CLEAN_DATA!E14&lt;$T$16,03_CLEAN_DATA!E14&gt;$U$16),"IQR ","")&amp;IF(ABS((03_CLEAN_DATA!E14-AVERAGE(03_CLEAN_DATA!$E$2:$E$17))/STDEV(03_CLEAN_DATA!$E$2:$E$17))&gt;$R$3," Z","")))</f>
        <v/>
      </c>
      <c r="L14" s="7" t="str">
        <f aca="false">IF(03_CLEAN_DATA!N14="","MISSING",TRIM(IF(OR(03_CLEAN_DATA!N14&lt;$T$17,03_CLEAN_DATA!N14&gt;$U$17),"IQR ","")&amp;IF(ABS((03_CLEAN_DATA!N14-AVERAGE(03_CLEAN_DATA!$N$2:$N$17))/STDEV(03_CLEAN_DATA!$N$2:$N$17))&gt;$R$3," Z","")))</f>
        <v/>
      </c>
      <c r="M14" s="7" t="str">
        <f aca="false">IF(03_CLEAN_DATA!O14="","MISSING",TRIM(IF(OR(03_CLEAN_DATA!O14&lt;$T$18,03_CLEAN_DATA!O14&gt;$U$18),"IQR ","")&amp;IF(ABS((03_CLEAN_DATA!O14-AVERAGE(03_CLEAN_DATA!$O$2:$O$17))/STDEV(03_CLEAN_DATA!$O$2:$O$17))&gt;$R$3," Z","")))</f>
        <v/>
      </c>
      <c r="N14" s="7" t="str">
        <f aca="false">IF(04_CALCULATIONS!E14="","MISSING",TRIM(IF(OR(04_CALCULATIONS!E14&lt;$T$19,04_CALCULATIONS!E14&gt;$U$19),"IQR ","")&amp;IF(ABS((04_CALCULATIONS!E14-AVERAGE(04_CALCULATIONS!$E$2:$E$17))/STDEV(04_CALCULATIONS!$E$2:$E$17))&gt;$R$3," Z","")))</f>
        <v>Z</v>
      </c>
      <c r="O14" s="7" t="str">
        <f aca="false">IF(03_CLEAN_DATA!L14="","MISSING",TRIM(IF(OR(03_CLEAN_DATA!L14&lt;$T$20,03_CLEAN_DATA!L14&gt;$U$20),"IQR ","")&amp;IF(ABS((03_CLEAN_DATA!L14-AVERAGE(03_CLEAN_DATA!$L$2:$L$17))/STDEV(03_CLEAN_DATA!$L$2:$L$17))&gt;$R$3," Z","")))</f>
        <v/>
      </c>
      <c r="Q14" s="6" t="s">
        <v>162</v>
      </c>
      <c r="R14" s="6" t="s">
        <v>163</v>
      </c>
      <c r="S14" s="6" t="s">
        <v>164</v>
      </c>
      <c r="T14" s="6" t="s">
        <v>165</v>
      </c>
      <c r="U14" s="6" t="s">
        <v>166</v>
      </c>
    </row>
    <row r="15" customFormat="false" ht="15" hidden="false" customHeight="false" outlineLevel="0" collapsed="false">
      <c r="A15" s="7" t="str">
        <f aca="false">03_CLEAN_DATA!A15</f>
        <v>Hungary</v>
      </c>
      <c r="B15" s="7" t="str">
        <f aca="false">03_CLEAN_DATA!B15</f>
        <v>HUN</v>
      </c>
      <c r="C15" s="7" t="n">
        <f aca="false">03_CLEAN_DATA!C15</f>
        <v>2023</v>
      </c>
      <c r="D15" s="11" t="n">
        <f aca="false">IF(C15=2010,IF(OR(03_CLEAN_DATA!H15="",INDEX($R$8:$R$11,MATCH(B15,$Q$8:$Q$11,0))=""),"",(03_CLEAN_DATA!H15/INDEX($R$8:$R$11,MATCH(B15,$Q$8:$Q$11,0))-1)*100),IF(OR(03_CLEAN_DATA!H15="",03_CLEAN_DATA!H14=""),"",(03_CLEAN_DATA!H15/03_CLEAN_DATA!H14-1)*100))</f>
        <v>1.81468946273118</v>
      </c>
      <c r="E15" s="11" t="n">
        <f aca="false">IF(OR(03_CLEAN_DATA!G15="",03_CLEAN_DATA!I15="",03_CLEAN_DATA!D15=""),"",(03_CLEAN_DATA!G15-03_CLEAN_DATA!I15)/03_CLEAN_DATA!D15*100)</f>
        <v>4.15615309239805</v>
      </c>
      <c r="F15" s="11" t="n">
        <f aca="false">IF(OR(03_CLEAN_DATA!G15="",03_CLEAN_DATA!I15="",03_CLEAN_DATA!D15=""),"",(03_CLEAN_DATA!G15+03_CLEAN_DATA!I15)/03_CLEAN_DATA!D15*100)</f>
        <v>158.618825607913</v>
      </c>
      <c r="G15" s="12" t="n">
        <f aca="false">IF(OR(F15="",03_CLEAN_DATA!L15=""),"",F15-03_CLEAN_DATA!L15)</f>
        <v>0</v>
      </c>
      <c r="H15" s="13" t="n">
        <f aca="false">IF(03_CLEAN_DATA!H15="","",03_CLEAN_DATA!H15/SUMIFS(03_CLEAN_DATA!$H$2:$H$65,03_CLEAN_DATA!$B$2:$B$65,B15,03_CLEAN_DATA!$C$2:$C$65,$R$4)*100)</f>
        <v>178.912162588466</v>
      </c>
      <c r="I15" s="7" t="str">
        <f aca="false">IF(C15&lt;=2019,"Pre-COVID (2010-2019)",IF(C15&lt;=2021,"COVID (2020-2021)","Post-COVID (2022-2025)"))</f>
        <v>Post-COVID (2022-2025)</v>
      </c>
      <c r="J15" s="7" t="str">
        <f aca="false">IF(04_CALCULATIONS!D15="","MISSING",TRIM(IF(OR(04_CALCULATIONS!D15&lt;$T$15,04_CALCULATIONS!D15&gt;$U$15),"IQR ","")&amp;IF(ABS((04_CALCULATIONS!D15-AVERAGE(04_CALCULATIONS!$D$2:$D$17))/STDEV(04_CALCULATIONS!$D$2:$D$17))&gt;$R$3," Z","")&amp;IF($C15=2010," Rebound","")))</f>
        <v/>
      </c>
      <c r="K15" s="7" t="str">
        <f aca="false">IF(03_CLEAN_DATA!E15="","MISSING",TRIM(IF(OR(03_CLEAN_DATA!E15&lt;$T$16,03_CLEAN_DATA!E15&gt;$U$16),"IQR ","")&amp;IF(ABS((03_CLEAN_DATA!E15-AVERAGE(03_CLEAN_DATA!$E$2:$E$17))/STDEV(03_CLEAN_DATA!$E$2:$E$17))&gt;$R$3," Z","")))</f>
        <v/>
      </c>
      <c r="L15" s="7" t="str">
        <f aca="false">IF(03_CLEAN_DATA!N15="","MISSING",TRIM(IF(OR(03_CLEAN_DATA!N15&lt;$T$17,03_CLEAN_DATA!N15&gt;$U$17),"IQR ","")&amp;IF(ABS((03_CLEAN_DATA!N15-AVERAGE(03_CLEAN_DATA!$N$2:$N$17))/STDEV(03_CLEAN_DATA!$N$2:$N$17))&gt;$R$3," Z","")))</f>
        <v>IQR</v>
      </c>
      <c r="M15" s="7" t="str">
        <f aca="false">IF(03_CLEAN_DATA!O15="","MISSING",TRIM(IF(OR(03_CLEAN_DATA!O15&lt;$T$18,03_CLEAN_DATA!O15&gt;$U$18),"IQR ","")&amp;IF(ABS((03_CLEAN_DATA!O15-AVERAGE(03_CLEAN_DATA!$O$2:$O$17))/STDEV(03_CLEAN_DATA!$O$2:$O$17))&gt;$R$3," Z","")))</f>
        <v/>
      </c>
      <c r="N15" s="7" t="str">
        <f aca="false">IF(04_CALCULATIONS!E15="","MISSING",TRIM(IF(OR(04_CALCULATIONS!E15&lt;$T$19,04_CALCULATIONS!E15&gt;$U$19),"IQR ","")&amp;IF(ABS((04_CALCULATIONS!E15-AVERAGE(04_CALCULATIONS!$E$2:$E$17))/STDEV(04_CALCULATIONS!$E$2:$E$17))&gt;$R$3," Z","")))</f>
        <v/>
      </c>
      <c r="O15" s="7" t="str">
        <f aca="false">IF(03_CLEAN_DATA!L15="","MISSING",TRIM(IF(OR(03_CLEAN_DATA!L15&lt;$T$20,03_CLEAN_DATA!L15&gt;$U$20),"IQR ","")&amp;IF(ABS((03_CLEAN_DATA!L15-AVERAGE(03_CLEAN_DATA!$L$2:$L$17))/STDEV(03_CLEAN_DATA!$L$2:$L$17))&gt;$R$3," Z","")))</f>
        <v/>
      </c>
      <c r="Q15" s="7" t="s">
        <v>167</v>
      </c>
      <c r="R15" s="11" t="n">
        <f aca="false">QUARTILE(04_CALCULATIONS!$D$2:$D$65,1)</f>
        <v>2.66355563661178</v>
      </c>
      <c r="S15" s="11" t="n">
        <f aca="false">QUARTILE(04_CALCULATIONS!$D$2:$D$65,3)</f>
        <v>7.84701630414529</v>
      </c>
      <c r="T15" s="11" t="n">
        <f aca="false">R15-$R$2*(S15-R15)</f>
        <v>-5.11163536468849</v>
      </c>
      <c r="U15" s="11" t="n">
        <f aca="false">S15+$R$2*(S15-R15)</f>
        <v>15.6222073054456</v>
      </c>
    </row>
    <row r="16" customFormat="false" ht="15" hidden="false" customHeight="false" outlineLevel="0" collapsed="false">
      <c r="A16" s="7" t="str">
        <f aca="false">03_CLEAN_DATA!A16</f>
        <v>Hungary</v>
      </c>
      <c r="B16" s="7" t="str">
        <f aca="false">03_CLEAN_DATA!B16</f>
        <v>HUN</v>
      </c>
      <c r="C16" s="7" t="n">
        <f aca="false">03_CLEAN_DATA!C16</f>
        <v>2024</v>
      </c>
      <c r="D16" s="11" t="n">
        <f aca="false">IF(C16=2010,IF(OR(03_CLEAN_DATA!H16="",INDEX($R$8:$R$11,MATCH(B16,$Q$8:$Q$11,0))=""),"",(03_CLEAN_DATA!H16/INDEX($R$8:$R$11,MATCH(B16,$Q$8:$Q$11,0))-1)*100),IF(OR(03_CLEAN_DATA!H16="",03_CLEAN_DATA!H15=""),"",(03_CLEAN_DATA!H16/03_CLEAN_DATA!H15-1)*100))</f>
        <v>-0.504422403904148</v>
      </c>
      <c r="E16" s="11" t="n">
        <f aca="false">IF(OR(03_CLEAN_DATA!G16="",03_CLEAN_DATA!I16="",03_CLEAN_DATA!D16=""),"",(03_CLEAN_DATA!G16-03_CLEAN_DATA!I16)/03_CLEAN_DATA!D16*100)</f>
        <v>4.4691574847128</v>
      </c>
      <c r="F16" s="11" t="n">
        <f aca="false">IF(OR(03_CLEAN_DATA!G16="",03_CLEAN_DATA!I16="",03_CLEAN_DATA!D16=""),"",(03_CLEAN_DATA!G16+03_CLEAN_DATA!I16)/03_CLEAN_DATA!D16*100)</f>
        <v>147.926666538068</v>
      </c>
      <c r="G16" s="12" t="n">
        <f aca="false">IF(OR(F16="",03_CLEAN_DATA!L16=""),"",F16-03_CLEAN_DATA!L16)</f>
        <v>0</v>
      </c>
      <c r="H16" s="13" t="n">
        <f aca="false">IF(03_CLEAN_DATA!H16="","",03_CLEAN_DATA!H16/SUMIFS(03_CLEAN_DATA!$H$2:$H$65,03_CLEAN_DATA!$B$2:$B$65,B16,03_CLEAN_DATA!$C$2:$C$65,$R$4)*100)</f>
        <v>178.00968955706</v>
      </c>
      <c r="I16" s="7" t="str">
        <f aca="false">IF(C16&lt;=2019,"Pre-COVID (2010-2019)",IF(C16&lt;=2021,"COVID (2020-2021)","Post-COVID (2022-2025)"))</f>
        <v>Post-COVID (2022-2025)</v>
      </c>
      <c r="J16" s="7" t="str">
        <f aca="false">IF(04_CALCULATIONS!D16="","MISSING",TRIM(IF(OR(04_CALCULATIONS!D16&lt;$T$15,04_CALCULATIONS!D16&gt;$U$15),"IQR ","")&amp;IF(ABS((04_CALCULATIONS!D16-AVERAGE(04_CALCULATIONS!$D$2:$D$17))/STDEV(04_CALCULATIONS!$D$2:$D$17))&gt;$R$3," Z","")&amp;IF($C16=2010," Rebound","")))</f>
        <v/>
      </c>
      <c r="K16" s="7" t="str">
        <f aca="false">IF(03_CLEAN_DATA!E16="","MISSING",TRIM(IF(OR(03_CLEAN_DATA!E16&lt;$T$16,03_CLEAN_DATA!E16&gt;$U$16),"IQR ","")&amp;IF(ABS((03_CLEAN_DATA!E16-AVERAGE(03_CLEAN_DATA!$E$2:$E$17))/STDEV(03_CLEAN_DATA!$E$2:$E$17))&gt;$R$3," Z","")))</f>
        <v/>
      </c>
      <c r="L16" s="7" t="str">
        <f aca="false">IF(03_CLEAN_DATA!N16="","MISSING",TRIM(IF(OR(03_CLEAN_DATA!N16&lt;$T$17,03_CLEAN_DATA!N16&gt;$U$17),"IQR ","")&amp;IF(ABS((03_CLEAN_DATA!N16-AVERAGE(03_CLEAN_DATA!$N$2:$N$17))/STDEV(03_CLEAN_DATA!$N$2:$N$17))&gt;$R$3," Z","")))</f>
        <v>IQR</v>
      </c>
      <c r="M16" s="7" t="str">
        <f aca="false">IF(03_CLEAN_DATA!O16="","MISSING",TRIM(IF(OR(03_CLEAN_DATA!O16&lt;$T$18,03_CLEAN_DATA!O16&gt;$U$18),"IQR ","")&amp;IF(ABS((03_CLEAN_DATA!O16-AVERAGE(03_CLEAN_DATA!$O$2:$O$17))/STDEV(03_CLEAN_DATA!$O$2:$O$17))&gt;$R$3," Z","")))</f>
        <v/>
      </c>
      <c r="N16" s="7" t="str">
        <f aca="false">IF(04_CALCULATIONS!E16="","MISSING",TRIM(IF(OR(04_CALCULATIONS!E16&lt;$T$19,04_CALCULATIONS!E16&gt;$U$19),"IQR ","")&amp;IF(ABS((04_CALCULATIONS!E16-AVERAGE(04_CALCULATIONS!$E$2:$E$17))/STDEV(04_CALCULATIONS!$E$2:$E$17))&gt;$R$3," Z","")))</f>
        <v/>
      </c>
      <c r="O16" s="7" t="str">
        <f aca="false">IF(03_CLEAN_DATA!L16="","MISSING",TRIM(IF(OR(03_CLEAN_DATA!L16&lt;$T$20,03_CLEAN_DATA!L16&gt;$U$20),"IQR ","")&amp;IF(ABS((03_CLEAN_DATA!L16-AVERAGE(03_CLEAN_DATA!$L$2:$L$17))/STDEV(03_CLEAN_DATA!$L$2:$L$17))&gt;$R$3," Z","")))</f>
        <v/>
      </c>
      <c r="Q16" s="7" t="s">
        <v>168</v>
      </c>
      <c r="R16" s="11" t="n">
        <f aca="false">QUARTILE(03_CLEAN_DATA!$E$2:$E$65,1)</f>
        <v>1.00281768367653</v>
      </c>
      <c r="S16" s="11" t="n">
        <f aca="false">QUARTILE(03_CLEAN_DATA!$E$2:$E$65,3)</f>
        <v>4.19787384362914</v>
      </c>
      <c r="T16" s="11" t="n">
        <f aca="false">R16-$R$2*(S16-R16)</f>
        <v>-3.78976655625237</v>
      </c>
      <c r="U16" s="11" t="n">
        <f aca="false">S16+$R$2*(S16-R16)</f>
        <v>8.99045808355804</v>
      </c>
    </row>
    <row r="17" customFormat="false" ht="15" hidden="false" customHeight="false" outlineLevel="0" collapsed="false">
      <c r="A17" s="7" t="str">
        <f aca="false">03_CLEAN_DATA!A17</f>
        <v>Hungary</v>
      </c>
      <c r="B17" s="7" t="str">
        <f aca="false">03_CLEAN_DATA!B17</f>
        <v>HUN</v>
      </c>
      <c r="C17" s="7" t="n">
        <f aca="false">03_CLEAN_DATA!C17</f>
        <v>2025</v>
      </c>
      <c r="D17" s="11" t="n">
        <f aca="false">IF(C17=2010,IF(OR(03_CLEAN_DATA!H17="",INDEX($R$8:$R$11,MATCH(B17,$Q$8:$Q$11,0))=""),"",(03_CLEAN_DATA!H17/INDEX($R$8:$R$11,MATCH(B17,$Q$8:$Q$11,0))-1)*100),IF(OR(03_CLEAN_DATA!H17="",03_CLEAN_DATA!H16=""),"",(03_CLEAN_DATA!H17/03_CLEAN_DATA!H16-1)*100))</f>
        <v>-1.08279998608553</v>
      </c>
      <c r="E17" s="11" t="n">
        <f aca="false">IF(OR(03_CLEAN_DATA!G17="",03_CLEAN_DATA!I17="",03_CLEAN_DATA!D17=""),"",(03_CLEAN_DATA!G17-03_CLEAN_DATA!I17)/03_CLEAN_DATA!D17*100)</f>
        <v>4.48156031036338</v>
      </c>
      <c r="F17" s="11" t="n">
        <f aca="false">IF(OR(03_CLEAN_DATA!G17="",03_CLEAN_DATA!I17="",03_CLEAN_DATA!D17=""),"",(03_CLEAN_DATA!G17+03_CLEAN_DATA!I17)/03_CLEAN_DATA!D17*100)</f>
        <v>140.779303903333</v>
      </c>
      <c r="G17" s="12" t="n">
        <f aca="false">IF(OR(F17="",03_CLEAN_DATA!L17=""),"",F17-03_CLEAN_DATA!L17)</f>
        <v>0</v>
      </c>
      <c r="H17" s="13" t="n">
        <f aca="false">IF(03_CLEAN_DATA!H17="","",03_CLEAN_DATA!H17/SUMIFS(03_CLEAN_DATA!$H$2:$H$65,03_CLEAN_DATA!$B$2:$B$65,B17,03_CLEAN_DATA!$C$2:$C$65,$R$4)*100)</f>
        <v>176.082200663305</v>
      </c>
      <c r="I17" s="7" t="str">
        <f aca="false">IF(C17&lt;=2019,"Pre-COVID (2010-2019)",IF(C17&lt;=2021,"COVID (2020-2021)","Post-COVID (2022-2025)"))</f>
        <v>Post-COVID (2022-2025)</v>
      </c>
      <c r="J17" s="7" t="str">
        <f aca="false">IF(04_CALCULATIONS!D17="","MISSING",TRIM(IF(OR(04_CALCULATIONS!D17&lt;$T$15,04_CALCULATIONS!D17&gt;$U$15),"IQR ","")&amp;IF(ABS((04_CALCULATIONS!D17-AVERAGE(04_CALCULATIONS!$D$2:$D$17))/STDEV(04_CALCULATIONS!$D$2:$D$17))&gt;$R$3," Z","")&amp;IF($C17=2010," Rebound","")))</f>
        <v/>
      </c>
      <c r="K17" s="7" t="str">
        <f aca="false">IF(03_CLEAN_DATA!E17="","MISSING",TRIM(IF(OR(03_CLEAN_DATA!E17&lt;$T$16,03_CLEAN_DATA!E17&gt;$U$16),"IQR ","")&amp;IF(ABS((03_CLEAN_DATA!E17-AVERAGE(03_CLEAN_DATA!$E$2:$E$17))/STDEV(03_CLEAN_DATA!$E$2:$E$17))&gt;$R$3," Z","")))</f>
        <v/>
      </c>
      <c r="L17" s="7" t="str">
        <f aca="false">IF(03_CLEAN_DATA!N17="","MISSING",TRIM(IF(OR(03_CLEAN_DATA!N17&lt;$T$17,03_CLEAN_DATA!N17&gt;$U$17),"IQR ","")&amp;IF(ABS((03_CLEAN_DATA!N17-AVERAGE(03_CLEAN_DATA!$N$2:$N$17))/STDEV(03_CLEAN_DATA!$N$2:$N$17))&gt;$R$3," Z","")))</f>
        <v>IQR</v>
      </c>
      <c r="M17" s="7" t="str">
        <f aca="false">IF(03_CLEAN_DATA!O17="","MISSING",TRIM(IF(OR(03_CLEAN_DATA!O17&lt;$T$18,03_CLEAN_DATA!O17&gt;$U$18),"IQR ","")&amp;IF(ABS((03_CLEAN_DATA!O17-AVERAGE(03_CLEAN_DATA!$O$2:$O$17))/STDEV(03_CLEAN_DATA!$O$2:$O$17))&gt;$R$3," Z","")))</f>
        <v/>
      </c>
      <c r="N17" s="7" t="str">
        <f aca="false">IF(04_CALCULATIONS!E17="","MISSING",TRIM(IF(OR(04_CALCULATIONS!E17&lt;$T$19,04_CALCULATIONS!E17&gt;$U$19),"IQR ","")&amp;IF(ABS((04_CALCULATIONS!E17-AVERAGE(04_CALCULATIONS!$E$2:$E$17))/STDEV(04_CALCULATIONS!$E$2:$E$17))&gt;$R$3," Z","")))</f>
        <v/>
      </c>
      <c r="O17" s="7" t="str">
        <f aca="false">IF(03_CLEAN_DATA!L17="","MISSING",TRIM(IF(OR(03_CLEAN_DATA!L17&lt;$T$20,03_CLEAN_DATA!L17&gt;$U$20),"IQR ","")&amp;IF(ABS((03_CLEAN_DATA!L17-AVERAGE(03_CLEAN_DATA!$L$2:$L$17))/STDEV(03_CLEAN_DATA!$L$2:$L$17))&gt;$R$3," Z","")))</f>
        <v/>
      </c>
      <c r="Q17" s="7" t="s">
        <v>169</v>
      </c>
      <c r="R17" s="11" t="n">
        <f aca="false">QUARTILE(03_CLEAN_DATA!$N$2:$N$65,1)</f>
        <v>1.47890470539182</v>
      </c>
      <c r="S17" s="11" t="n">
        <f aca="false">QUARTILE(03_CLEAN_DATA!$N$2:$N$65,3)</f>
        <v>4.4074677051908</v>
      </c>
      <c r="T17" s="11" t="n">
        <f aca="false">R17-$R$2*(S17-R17)</f>
        <v>-2.91393979430666</v>
      </c>
      <c r="U17" s="11" t="n">
        <f aca="false">S17+$R$2*(S17-R17)</f>
        <v>8.80031220488928</v>
      </c>
    </row>
    <row r="18" customFormat="false" ht="15" hidden="false" customHeight="false" outlineLevel="0" collapsed="false">
      <c r="A18" s="7" t="str">
        <f aca="false">03_CLEAN_DATA!A18</f>
        <v>Poland</v>
      </c>
      <c r="B18" s="7" t="str">
        <f aca="false">03_CLEAN_DATA!B18</f>
        <v>POL</v>
      </c>
      <c r="C18" s="7" t="n">
        <f aca="false">03_CLEAN_DATA!C18</f>
        <v>2010</v>
      </c>
      <c r="D18" s="11" t="n">
        <f aca="false">IF(C18=2010,IF(OR(03_CLEAN_DATA!H18="",INDEX($R$8:$R$11,MATCH(B18,$Q$8:$Q$11,0))=""),"",(03_CLEAN_DATA!H18/INDEX($R$8:$R$11,MATCH(B18,$Q$8:$Q$11,0))-1)*100),IF(OR(03_CLEAN_DATA!H18="",03_CLEAN_DATA!H17=""),"",(03_CLEAN_DATA!H18/03_CLEAN_DATA!H17-1)*100))</f>
        <v>12.5897225593362</v>
      </c>
      <c r="E18" s="11" t="n">
        <f aca="false">IF(OR(03_CLEAN_DATA!G18="",03_CLEAN_DATA!I18="",03_CLEAN_DATA!D18=""),"",(03_CLEAN_DATA!G18-03_CLEAN_DATA!I18)/03_CLEAN_DATA!D18*100)</f>
        <v>-2.44143862934843</v>
      </c>
      <c r="F18" s="11" t="n">
        <f aca="false">IF(OR(03_CLEAN_DATA!G18="",03_CLEAN_DATA!I18="",03_CLEAN_DATA!D18=""),"",(03_CLEAN_DATA!G18+03_CLEAN_DATA!I18)/03_CLEAN_DATA!D18*100)</f>
        <v>82.2258523219922</v>
      </c>
      <c r="G18" s="12" t="n">
        <f aca="false">IF(OR(F18="",03_CLEAN_DATA!L18=""),"",F18-03_CLEAN_DATA!L18)</f>
        <v>0</v>
      </c>
      <c r="H18" s="13" t="n">
        <f aca="false">IF(03_CLEAN_DATA!H18="","",03_CLEAN_DATA!H18/SUMIFS(03_CLEAN_DATA!$H$2:$H$65,03_CLEAN_DATA!$B$2:$B$65,B18,03_CLEAN_DATA!$C$2:$C$65,$R$4)*100)</f>
        <v>100</v>
      </c>
      <c r="I18" s="7" t="str">
        <f aca="false">IF(C18&lt;=2019,"Pre-COVID (2010-2019)",IF(C18&lt;=2021,"COVID (2020-2021)","Post-COVID (2022-2025)"))</f>
        <v>Pre-COVID (2010-2019)</v>
      </c>
      <c r="J18" s="7" t="str">
        <f aca="false">IF(04_CALCULATIONS!D18="","MISSING",TRIM(IF(OR(04_CALCULATIONS!D18&lt;$T$15,04_CALCULATIONS!D18&gt;$U$15),"IQR ","")&amp;IF(ABS((04_CALCULATIONS!D18-AVERAGE(04_CALCULATIONS!$D$18:$D$33))/STDEV(04_CALCULATIONS!$D$18:$D$33))&gt;$R$3," Z","")&amp;IF($C18=2010," Rebound","")))</f>
        <v>Rebound</v>
      </c>
      <c r="K18" s="7" t="str">
        <f aca="false">IF(03_CLEAN_DATA!E18="","MISSING",TRIM(IF(OR(03_CLEAN_DATA!E18&lt;$T$16,03_CLEAN_DATA!E18&gt;$U$16),"IQR ","")&amp;IF(ABS((03_CLEAN_DATA!E18-AVERAGE(03_CLEAN_DATA!$E$18:$E$33))/STDEV(03_CLEAN_DATA!$E$18:$E$33))&gt;$R$3," Z","")))</f>
        <v/>
      </c>
      <c r="L18" s="7" t="str">
        <f aca="false">IF(03_CLEAN_DATA!N18="","MISSING",TRIM(IF(OR(03_CLEAN_DATA!N18&lt;$T$17,03_CLEAN_DATA!N18&gt;$U$17),"IQR ","")&amp;IF(ABS((03_CLEAN_DATA!N18-AVERAGE(03_CLEAN_DATA!$N$18:$N$33))/STDEV(03_CLEAN_DATA!$N$18:$N$33))&gt;$R$3," Z","")))</f>
        <v/>
      </c>
      <c r="M18" s="7" t="str">
        <f aca="false">IF(03_CLEAN_DATA!O18="","MISSING",TRIM(IF(OR(03_CLEAN_DATA!O18&lt;$T$18,03_CLEAN_DATA!O18&gt;$U$18),"IQR ","")&amp;IF(ABS((03_CLEAN_DATA!O18-AVERAGE(03_CLEAN_DATA!$O$18:$O$33))/STDEV(03_CLEAN_DATA!$O$18:$O$33))&gt;$R$3," Z","")))</f>
        <v/>
      </c>
      <c r="N18" s="7" t="str">
        <f aca="false">IF(04_CALCULATIONS!E18="","MISSING",TRIM(IF(OR(04_CALCULATIONS!E18&lt;$T$19,04_CALCULATIONS!E18&gt;$U$19),"IQR ","")&amp;IF(ABS((04_CALCULATIONS!E18-AVERAGE(04_CALCULATIONS!$E$18:$E$33))/STDEV(04_CALCULATIONS!$E$18:$E$33))&gt;$R$3," Z","")))</f>
        <v/>
      </c>
      <c r="O18" s="7" t="str">
        <f aca="false">IF(03_CLEAN_DATA!L18="","MISSING",TRIM(IF(OR(03_CLEAN_DATA!L18&lt;$T$20,03_CLEAN_DATA!L18&gt;$U$20),"IQR ","")&amp;IF(ABS((03_CLEAN_DATA!L18-AVERAGE(03_CLEAN_DATA!$L$18:$L$33))/STDEV(03_CLEAN_DATA!$L$18:$L$33))&gt;$R$3," Z","")))</f>
        <v/>
      </c>
      <c r="Q18" s="7" t="s">
        <v>170</v>
      </c>
      <c r="R18" s="11" t="n">
        <f aca="false">QUARTILE(03_CLEAN_DATA!$O$2:$O$65,1)</f>
        <v>16.7498216453948</v>
      </c>
      <c r="S18" s="11" t="n">
        <f aca="false">QUARTILE(03_CLEAN_DATA!$O$2:$O$65,3)</f>
        <v>19.4569859751821</v>
      </c>
      <c r="T18" s="11" t="n">
        <f aca="false">R18-$R$2*(S18-R18)</f>
        <v>12.6890751507139</v>
      </c>
      <c r="U18" s="11" t="n">
        <f aca="false">S18+$R$2*(S18-R18)</f>
        <v>23.5177324698629</v>
      </c>
    </row>
    <row r="19" customFormat="false" ht="15" hidden="false" customHeight="false" outlineLevel="0" collapsed="false">
      <c r="A19" s="7" t="str">
        <f aca="false">03_CLEAN_DATA!A19</f>
        <v>Poland</v>
      </c>
      <c r="B19" s="7" t="str">
        <f aca="false">03_CLEAN_DATA!B19</f>
        <v>POL</v>
      </c>
      <c r="C19" s="7" t="n">
        <f aca="false">03_CLEAN_DATA!C19</f>
        <v>2011</v>
      </c>
      <c r="D19" s="11" t="n">
        <f aca="false">IF(C19=2010,IF(OR(03_CLEAN_DATA!H19="",INDEX($R$8:$R$11,MATCH(B19,$Q$8:$Q$11,0))=""),"",(03_CLEAN_DATA!H19/INDEX($R$8:$R$11,MATCH(B19,$Q$8:$Q$11,0))-1)*100),IF(OR(03_CLEAN_DATA!H19="",03_CLEAN_DATA!H18=""),"",(03_CLEAN_DATA!H19/03_CLEAN_DATA!H18-1)*100))</f>
        <v>7.74499192152887</v>
      </c>
      <c r="E19" s="11" t="n">
        <f aca="false">IF(OR(03_CLEAN_DATA!G19="",03_CLEAN_DATA!I19="",03_CLEAN_DATA!D19=""),"",(03_CLEAN_DATA!G19-03_CLEAN_DATA!I19)/03_CLEAN_DATA!D19*100)</f>
        <v>-2.28730733694176</v>
      </c>
      <c r="F19" s="11" t="n">
        <f aca="false">IF(OR(03_CLEAN_DATA!G19="",03_CLEAN_DATA!I19="",03_CLEAN_DATA!D19=""),"",(03_CLEAN_DATA!G19+03_CLEAN_DATA!I19)/03_CLEAN_DATA!D19*100)</f>
        <v>86.9236892837618</v>
      </c>
      <c r="G19" s="12" t="n">
        <f aca="false">IF(OR(F19="",03_CLEAN_DATA!L19=""),"",F19-03_CLEAN_DATA!L19)</f>
        <v>0</v>
      </c>
      <c r="H19" s="13" t="n">
        <f aca="false">IF(03_CLEAN_DATA!H19="","",03_CLEAN_DATA!H19/SUMIFS(03_CLEAN_DATA!$H$2:$H$65,03_CLEAN_DATA!$B$2:$B$65,B19,03_CLEAN_DATA!$C$2:$C$65,$R$4)*100)</f>
        <v>107.744991921529</v>
      </c>
      <c r="I19" s="7" t="str">
        <f aca="false">IF(C19&lt;=2019,"Pre-COVID (2010-2019)",IF(C19&lt;=2021,"COVID (2020-2021)","Post-COVID (2022-2025)"))</f>
        <v>Pre-COVID (2010-2019)</v>
      </c>
      <c r="J19" s="7" t="str">
        <f aca="false">IF(04_CALCULATIONS!D19="","MISSING",TRIM(IF(OR(04_CALCULATIONS!D19&lt;$T$15,04_CALCULATIONS!D19&gt;$U$15),"IQR ","")&amp;IF(ABS((04_CALCULATIONS!D19-AVERAGE(04_CALCULATIONS!$D$18:$D$33))/STDEV(04_CALCULATIONS!$D$18:$D$33))&gt;$R$3," Z","")&amp;IF($C19=2010," Rebound","")))</f>
        <v/>
      </c>
      <c r="K19" s="7" t="str">
        <f aca="false">IF(03_CLEAN_DATA!E19="","MISSING",TRIM(IF(OR(03_CLEAN_DATA!E19&lt;$T$16,03_CLEAN_DATA!E19&gt;$U$16),"IQR ","")&amp;IF(ABS((03_CLEAN_DATA!E19-AVERAGE(03_CLEAN_DATA!$E$18:$E$33))/STDEV(03_CLEAN_DATA!$E$18:$E$33))&gt;$R$3," Z","")))</f>
        <v/>
      </c>
      <c r="L19" s="7" t="str">
        <f aca="false">IF(03_CLEAN_DATA!N19="","MISSING",TRIM(IF(OR(03_CLEAN_DATA!N19&lt;$T$17,03_CLEAN_DATA!N19&gt;$U$17),"IQR ","")&amp;IF(ABS((03_CLEAN_DATA!N19-AVERAGE(03_CLEAN_DATA!$N$18:$N$33))/STDEV(03_CLEAN_DATA!$N$18:$N$33))&gt;$R$3," Z","")))</f>
        <v/>
      </c>
      <c r="M19" s="7" t="str">
        <f aca="false">IF(03_CLEAN_DATA!O19="","MISSING",TRIM(IF(OR(03_CLEAN_DATA!O19&lt;$T$18,03_CLEAN_DATA!O19&gt;$U$18),"IQR ","")&amp;IF(ABS((03_CLEAN_DATA!O19-AVERAGE(03_CLEAN_DATA!$O$18:$O$33))/STDEV(03_CLEAN_DATA!$O$18:$O$33))&gt;$R$3," Z","")))</f>
        <v/>
      </c>
      <c r="N19" s="7" t="str">
        <f aca="false">IF(04_CALCULATIONS!E19="","MISSING",TRIM(IF(OR(04_CALCULATIONS!E19&lt;$T$19,04_CALCULATIONS!E19&gt;$U$19),"IQR ","")&amp;IF(ABS((04_CALCULATIONS!E19-AVERAGE(04_CALCULATIONS!$E$18:$E$33))/STDEV(04_CALCULATIONS!$E$18:$E$33))&gt;$R$3," Z","")))</f>
        <v/>
      </c>
      <c r="O19" s="7" t="str">
        <f aca="false">IF(03_CLEAN_DATA!L19="","MISSING",TRIM(IF(OR(03_CLEAN_DATA!L19&lt;$T$20,03_CLEAN_DATA!L19&gt;$U$20),"IQR ","")&amp;IF(ABS((03_CLEAN_DATA!L19-AVERAGE(03_CLEAN_DATA!$L$18:$L$33))/STDEV(03_CLEAN_DATA!$L$18:$L$33))&gt;$R$3," Z","")))</f>
        <v/>
      </c>
      <c r="Q19" s="7" t="s">
        <v>171</v>
      </c>
      <c r="R19" s="11" t="n">
        <f aca="false">QUARTILE(04_CALCULATIONS!$E$2:$E$65,1)</f>
        <v>1.11979271789955</v>
      </c>
      <c r="S19" s="11" t="n">
        <f aca="false">QUARTILE(04_CALCULATIONS!$E$2:$E$65,3)</f>
        <v>5.66791348426872</v>
      </c>
      <c r="T19" s="11" t="n">
        <f aca="false">R19-$R$2*(S19-R19)</f>
        <v>-5.70238843165421</v>
      </c>
      <c r="U19" s="11" t="n">
        <f aca="false">S19+$R$2*(S19-R19)</f>
        <v>12.4900946338225</v>
      </c>
    </row>
    <row r="20" customFormat="false" ht="15" hidden="false" customHeight="false" outlineLevel="0" collapsed="false">
      <c r="A20" s="7" t="str">
        <f aca="false">03_CLEAN_DATA!A20</f>
        <v>Poland</v>
      </c>
      <c r="B20" s="7" t="str">
        <f aca="false">03_CLEAN_DATA!B20</f>
        <v>POL</v>
      </c>
      <c r="C20" s="7" t="n">
        <f aca="false">03_CLEAN_DATA!C20</f>
        <v>2012</v>
      </c>
      <c r="D20" s="11" t="n">
        <f aca="false">IF(C20=2010,IF(OR(03_CLEAN_DATA!H20="",INDEX($R$8:$R$11,MATCH(B20,$Q$8:$Q$11,0))=""),"",(03_CLEAN_DATA!H20/INDEX($R$8:$R$11,MATCH(B20,$Q$8:$Q$11,0))-1)*100),IF(OR(03_CLEAN_DATA!H20="",03_CLEAN_DATA!H19=""),"",(03_CLEAN_DATA!H20/03_CLEAN_DATA!H19-1)*100))</f>
        <v>3.92000537548793</v>
      </c>
      <c r="E20" s="11" t="n">
        <f aca="false">IF(OR(03_CLEAN_DATA!G20="",03_CLEAN_DATA!I20="",03_CLEAN_DATA!D20=""),"",(03_CLEAN_DATA!G20-03_CLEAN_DATA!I20)/03_CLEAN_DATA!D20*100)</f>
        <v>-0.784100029465391</v>
      </c>
      <c r="F20" s="11" t="n">
        <f aca="false">IF(OR(03_CLEAN_DATA!G20="",03_CLEAN_DATA!I20="",03_CLEAN_DATA!D20=""),"",(03_CLEAN_DATA!G20+03_CLEAN_DATA!I20)/03_CLEAN_DATA!D20*100)</f>
        <v>88.8299033066581</v>
      </c>
      <c r="G20" s="12" t="n">
        <f aca="false">IF(OR(F20="",03_CLEAN_DATA!L20=""),"",F20-03_CLEAN_DATA!L20)</f>
        <v>0</v>
      </c>
      <c r="H20" s="13" t="n">
        <f aca="false">IF(03_CLEAN_DATA!H20="","",03_CLEAN_DATA!H20/SUMIFS(03_CLEAN_DATA!$H$2:$H$65,03_CLEAN_DATA!$B$2:$B$65,B20,03_CLEAN_DATA!$C$2:$C$65,$R$4)*100)</f>
        <v>111.968601396672</v>
      </c>
      <c r="I20" s="7" t="str">
        <f aca="false">IF(C20&lt;=2019,"Pre-COVID (2010-2019)",IF(C20&lt;=2021,"COVID (2020-2021)","Post-COVID (2022-2025)"))</f>
        <v>Pre-COVID (2010-2019)</v>
      </c>
      <c r="J20" s="7" t="str">
        <f aca="false">IF(04_CALCULATIONS!D20="","MISSING",TRIM(IF(OR(04_CALCULATIONS!D20&lt;$T$15,04_CALCULATIONS!D20&gt;$U$15),"IQR ","")&amp;IF(ABS((04_CALCULATIONS!D20-AVERAGE(04_CALCULATIONS!$D$18:$D$33))/STDEV(04_CALCULATIONS!$D$18:$D$33))&gt;$R$3," Z","")&amp;IF($C20=2010," Rebound","")))</f>
        <v/>
      </c>
      <c r="K20" s="7" t="str">
        <f aca="false">IF(03_CLEAN_DATA!E20="","MISSING",TRIM(IF(OR(03_CLEAN_DATA!E20&lt;$T$16,03_CLEAN_DATA!E20&gt;$U$16),"IQR ","")&amp;IF(ABS((03_CLEAN_DATA!E20-AVERAGE(03_CLEAN_DATA!$E$18:$E$33))/STDEV(03_CLEAN_DATA!$E$18:$E$33))&gt;$R$3," Z","")))</f>
        <v/>
      </c>
      <c r="L20" s="7" t="str">
        <f aca="false">IF(03_CLEAN_DATA!N20="","MISSING",TRIM(IF(OR(03_CLEAN_DATA!N20&lt;$T$17,03_CLEAN_DATA!N20&gt;$U$17),"IQR ","")&amp;IF(ABS((03_CLEAN_DATA!N20-AVERAGE(03_CLEAN_DATA!$N$18:$N$33))/STDEV(03_CLEAN_DATA!$N$18:$N$33))&gt;$R$3," Z","")))</f>
        <v/>
      </c>
      <c r="M20" s="7" t="str">
        <f aca="false">IF(03_CLEAN_DATA!O20="","MISSING",TRIM(IF(OR(03_CLEAN_DATA!O20&lt;$T$18,03_CLEAN_DATA!O20&gt;$U$18),"IQR ","")&amp;IF(ABS((03_CLEAN_DATA!O20-AVERAGE(03_CLEAN_DATA!$O$18:$O$33))/STDEV(03_CLEAN_DATA!$O$18:$O$33))&gt;$R$3," Z","")))</f>
        <v/>
      </c>
      <c r="N20" s="7" t="str">
        <f aca="false">IF(04_CALCULATIONS!E20="","MISSING",TRIM(IF(OR(04_CALCULATIONS!E20&lt;$T$19,04_CALCULATIONS!E20&gt;$U$19),"IQR ","")&amp;IF(ABS((04_CALCULATIONS!E20-AVERAGE(04_CALCULATIONS!$E$18:$E$33))/STDEV(04_CALCULATIONS!$E$18:$E$33))&gt;$R$3," Z","")))</f>
        <v/>
      </c>
      <c r="O20" s="7" t="str">
        <f aca="false">IF(03_CLEAN_DATA!L20="","MISSING",TRIM(IF(OR(03_CLEAN_DATA!L20&lt;$T$20,03_CLEAN_DATA!L20&gt;$U$20),"IQR ","")&amp;IF(ABS((03_CLEAN_DATA!L20-AVERAGE(03_CLEAN_DATA!$L$18:$L$33))/STDEV(03_CLEAN_DATA!$L$18:$L$33))&gt;$R$3," Z","")))</f>
        <v/>
      </c>
      <c r="Q20" s="7" t="s">
        <v>172</v>
      </c>
      <c r="R20" s="11" t="n">
        <f aca="false">QUARTILE(03_CLEAN_DATA!$L$2:$L$65,1)</f>
        <v>125.822693302685</v>
      </c>
      <c r="S20" s="11" t="n">
        <f aca="false">QUARTILE(03_CLEAN_DATA!$L$2:$L$65,3)</f>
        <v>167.740218761878</v>
      </c>
      <c r="T20" s="11" t="n">
        <f aca="false">R20-$R$2*(S20-R20)</f>
        <v>62.9464051138953</v>
      </c>
      <c r="U20" s="11" t="n">
        <f aca="false">S20+$R$2*(S20-R20)</f>
        <v>230.616506950667</v>
      </c>
    </row>
    <row r="21" customFormat="false" ht="15" hidden="false" customHeight="false" outlineLevel="0" collapsed="false">
      <c r="A21" s="7" t="str">
        <f aca="false">03_CLEAN_DATA!A21</f>
        <v>Poland</v>
      </c>
      <c r="B21" s="7" t="str">
        <f aca="false">03_CLEAN_DATA!B21</f>
        <v>POL</v>
      </c>
      <c r="C21" s="7" t="n">
        <f aca="false">03_CLEAN_DATA!C21</f>
        <v>2013</v>
      </c>
      <c r="D21" s="11" t="n">
        <f aca="false">IF(C21=2010,IF(OR(03_CLEAN_DATA!H21="",INDEX($R$8:$R$11,MATCH(B21,$Q$8:$Q$11,0))=""),"",(03_CLEAN_DATA!H21/INDEX($R$8:$R$11,MATCH(B21,$Q$8:$Q$11,0))-1)*100),IF(OR(03_CLEAN_DATA!H21="",03_CLEAN_DATA!H20=""),"",(03_CLEAN_DATA!H21/03_CLEAN_DATA!H20-1)*100))</f>
        <v>5.06049835860376</v>
      </c>
      <c r="E21" s="11" t="n">
        <f aca="false">IF(OR(03_CLEAN_DATA!G21="",03_CLEAN_DATA!I21="",03_CLEAN_DATA!D21=""),"",(03_CLEAN_DATA!G21-03_CLEAN_DATA!I21)/03_CLEAN_DATA!D21*100)</f>
        <v>1.11706908426592</v>
      </c>
      <c r="F21" s="11" t="n">
        <f aca="false">IF(OR(03_CLEAN_DATA!G21="",03_CLEAN_DATA!I21="",03_CLEAN_DATA!D21=""),"",(03_CLEAN_DATA!G21+03_CLEAN_DATA!I21)/03_CLEAN_DATA!D21*100)</f>
        <v>90.4175072415631</v>
      </c>
      <c r="G21" s="12" t="n">
        <f aca="false">IF(OR(F21="",03_CLEAN_DATA!L21=""),"",F21-03_CLEAN_DATA!L21)</f>
        <v>0</v>
      </c>
      <c r="H21" s="13" t="n">
        <f aca="false">IF(03_CLEAN_DATA!H21="","",03_CLEAN_DATA!H21/SUMIFS(03_CLEAN_DATA!$H$2:$H$65,03_CLEAN_DATA!$B$2:$B$65,B21,03_CLEAN_DATA!$C$2:$C$65,$R$4)*100)</f>
        <v>117.634770632502</v>
      </c>
      <c r="I21" s="7" t="str">
        <f aca="false">IF(C21&lt;=2019,"Pre-COVID (2010-2019)",IF(C21&lt;=2021,"COVID (2020-2021)","Post-COVID (2022-2025)"))</f>
        <v>Pre-COVID (2010-2019)</v>
      </c>
      <c r="J21" s="7" t="str">
        <f aca="false">IF(04_CALCULATIONS!D21="","MISSING",TRIM(IF(OR(04_CALCULATIONS!D21&lt;$T$15,04_CALCULATIONS!D21&gt;$U$15),"IQR ","")&amp;IF(ABS((04_CALCULATIONS!D21-AVERAGE(04_CALCULATIONS!$D$18:$D$33))/STDEV(04_CALCULATIONS!$D$18:$D$33))&gt;$R$3," Z","")&amp;IF($C21=2010," Rebound","")))</f>
        <v/>
      </c>
      <c r="K21" s="7" t="str">
        <f aca="false">IF(03_CLEAN_DATA!E21="","MISSING",TRIM(IF(OR(03_CLEAN_DATA!E21&lt;$T$16,03_CLEAN_DATA!E21&gt;$U$16),"IQR ","")&amp;IF(ABS((03_CLEAN_DATA!E21-AVERAGE(03_CLEAN_DATA!$E$18:$E$33))/STDEV(03_CLEAN_DATA!$E$18:$E$33))&gt;$R$3," Z","")))</f>
        <v/>
      </c>
      <c r="L21" s="7" t="str">
        <f aca="false">IF(03_CLEAN_DATA!N21="","MISSING",TRIM(IF(OR(03_CLEAN_DATA!N21&lt;$T$17,03_CLEAN_DATA!N21&gt;$U$17),"IQR ","")&amp;IF(ABS((03_CLEAN_DATA!N21-AVERAGE(03_CLEAN_DATA!$N$18:$N$33))/STDEV(03_CLEAN_DATA!$N$18:$N$33))&gt;$R$3," Z","")))</f>
        <v/>
      </c>
      <c r="M21" s="7" t="str">
        <f aca="false">IF(03_CLEAN_DATA!O21="","MISSING",TRIM(IF(OR(03_CLEAN_DATA!O21&lt;$T$18,03_CLEAN_DATA!O21&gt;$U$18),"IQR ","")&amp;IF(ABS((03_CLEAN_DATA!O21-AVERAGE(03_CLEAN_DATA!$O$18:$O$33))/STDEV(03_CLEAN_DATA!$O$18:$O$33))&gt;$R$3," Z","")))</f>
        <v/>
      </c>
      <c r="N21" s="7" t="str">
        <f aca="false">IF(04_CALCULATIONS!E21="","MISSING",TRIM(IF(OR(04_CALCULATIONS!E21&lt;$T$19,04_CALCULATIONS!E21&gt;$U$19),"IQR ","")&amp;IF(ABS((04_CALCULATIONS!E21-AVERAGE(04_CALCULATIONS!$E$18:$E$33))/STDEV(04_CALCULATIONS!$E$18:$E$33))&gt;$R$3," Z","")))</f>
        <v/>
      </c>
      <c r="O21" s="7" t="str">
        <f aca="false">IF(03_CLEAN_DATA!L21="","MISSING",TRIM(IF(OR(03_CLEAN_DATA!L21&lt;$T$20,03_CLEAN_DATA!L21&gt;$U$20),"IQR ","")&amp;IF(ABS((03_CLEAN_DATA!L21-AVERAGE(03_CLEAN_DATA!$L$18:$L$33))/STDEV(03_CLEAN_DATA!$L$18:$L$33))&gt;$R$3," Z","")))</f>
        <v/>
      </c>
    </row>
    <row r="22" customFormat="false" ht="15" hidden="false" customHeight="false" outlineLevel="0" collapsed="false">
      <c r="A22" s="7" t="str">
        <f aca="false">03_CLEAN_DATA!A22</f>
        <v>Poland</v>
      </c>
      <c r="B22" s="7" t="str">
        <f aca="false">03_CLEAN_DATA!B22</f>
        <v>POL</v>
      </c>
      <c r="C22" s="7" t="n">
        <f aca="false">03_CLEAN_DATA!C22</f>
        <v>2014</v>
      </c>
      <c r="D22" s="11" t="n">
        <f aca="false">IF(C22=2010,IF(OR(03_CLEAN_DATA!H22="",INDEX($R$8:$R$11,MATCH(B22,$Q$8:$Q$11,0))=""),"",(03_CLEAN_DATA!H22/INDEX($R$8:$R$11,MATCH(B22,$Q$8:$Q$11,0))-1)*100),IF(OR(03_CLEAN_DATA!H22="",03_CLEAN_DATA!H21=""),"",(03_CLEAN_DATA!H22/03_CLEAN_DATA!H21-1)*100))</f>
        <v>5.49759785345441</v>
      </c>
      <c r="E22" s="11" t="n">
        <f aca="false">IF(OR(03_CLEAN_DATA!G22="",03_CLEAN_DATA!I22="",03_CLEAN_DATA!D22=""),"",(03_CLEAN_DATA!G22-03_CLEAN_DATA!I22)/03_CLEAN_DATA!D22*100)</f>
        <v>0.407324353797902</v>
      </c>
      <c r="F22" s="11" t="n">
        <f aca="false">IF(OR(03_CLEAN_DATA!G22="",03_CLEAN_DATA!I22="",03_CLEAN_DATA!D22=""),"",(03_CLEAN_DATA!G22+03_CLEAN_DATA!I22)/03_CLEAN_DATA!D22*100)</f>
        <v>92.0340197113178</v>
      </c>
      <c r="G22" s="12" t="n">
        <f aca="false">IF(OR(F22="",03_CLEAN_DATA!L22=""),"",F22-03_CLEAN_DATA!L22)</f>
        <v>0</v>
      </c>
      <c r="H22" s="13" t="n">
        <f aca="false">IF(03_CLEAN_DATA!H22="","",03_CLEAN_DATA!H22/SUMIFS(03_CLEAN_DATA!$H$2:$H$65,03_CLEAN_DATA!$B$2:$B$65,B22,03_CLEAN_DATA!$C$2:$C$65,$R$4)*100)</f>
        <v>124.10185725771</v>
      </c>
      <c r="I22" s="7" t="str">
        <f aca="false">IF(C22&lt;=2019,"Pre-COVID (2010-2019)",IF(C22&lt;=2021,"COVID (2020-2021)","Post-COVID (2022-2025)"))</f>
        <v>Pre-COVID (2010-2019)</v>
      </c>
      <c r="J22" s="7" t="str">
        <f aca="false">IF(04_CALCULATIONS!D22="","MISSING",TRIM(IF(OR(04_CALCULATIONS!D22&lt;$T$15,04_CALCULATIONS!D22&gt;$U$15),"IQR ","")&amp;IF(ABS((04_CALCULATIONS!D22-AVERAGE(04_CALCULATIONS!$D$18:$D$33))/STDEV(04_CALCULATIONS!$D$18:$D$33))&gt;$R$3," Z","")&amp;IF($C22=2010," Rebound","")))</f>
        <v/>
      </c>
      <c r="K22" s="7" t="str">
        <f aca="false">IF(03_CLEAN_DATA!E22="","MISSING",TRIM(IF(OR(03_CLEAN_DATA!E22&lt;$T$16,03_CLEAN_DATA!E22&gt;$U$16),"IQR ","")&amp;IF(ABS((03_CLEAN_DATA!E22-AVERAGE(03_CLEAN_DATA!$E$18:$E$33))/STDEV(03_CLEAN_DATA!$E$18:$E$33))&gt;$R$3," Z","")))</f>
        <v/>
      </c>
      <c r="L22" s="7" t="str">
        <f aca="false">IF(03_CLEAN_DATA!N22="","MISSING",TRIM(IF(OR(03_CLEAN_DATA!N22&lt;$T$17,03_CLEAN_DATA!N22&gt;$U$17),"IQR ","")&amp;IF(ABS((03_CLEAN_DATA!N22-AVERAGE(03_CLEAN_DATA!$N$18:$N$33))/STDEV(03_CLEAN_DATA!$N$18:$N$33))&gt;$R$3," Z","")))</f>
        <v/>
      </c>
      <c r="M22" s="7" t="str">
        <f aca="false">IF(03_CLEAN_DATA!O22="","MISSING",TRIM(IF(OR(03_CLEAN_DATA!O22&lt;$T$18,03_CLEAN_DATA!O22&gt;$U$18),"IQR ","")&amp;IF(ABS((03_CLEAN_DATA!O22-AVERAGE(03_CLEAN_DATA!$O$18:$O$33))/STDEV(03_CLEAN_DATA!$O$18:$O$33))&gt;$R$3," Z","")))</f>
        <v/>
      </c>
      <c r="N22" s="7" t="str">
        <f aca="false">IF(04_CALCULATIONS!E22="","MISSING",TRIM(IF(OR(04_CALCULATIONS!E22&lt;$T$19,04_CALCULATIONS!E22&gt;$U$19),"IQR ","")&amp;IF(ABS((04_CALCULATIONS!E22-AVERAGE(04_CALCULATIONS!$E$18:$E$33))/STDEV(04_CALCULATIONS!$E$18:$E$33))&gt;$R$3," Z","")))</f>
        <v/>
      </c>
      <c r="O22" s="7" t="str">
        <f aca="false">IF(03_CLEAN_DATA!L22="","MISSING",TRIM(IF(OR(03_CLEAN_DATA!L22&lt;$T$20,03_CLEAN_DATA!L22&gt;$U$20),"IQR ","")&amp;IF(ABS((03_CLEAN_DATA!L22-AVERAGE(03_CLEAN_DATA!$L$18:$L$33))/STDEV(03_CLEAN_DATA!$L$18:$L$33))&gt;$R$3," Z","")))</f>
        <v/>
      </c>
    </row>
    <row r="23" customFormat="false" ht="15" hidden="false" customHeight="false" outlineLevel="0" collapsed="false">
      <c r="A23" s="7" t="str">
        <f aca="false">03_CLEAN_DATA!A23</f>
        <v>Poland</v>
      </c>
      <c r="B23" s="7" t="str">
        <f aca="false">03_CLEAN_DATA!B23</f>
        <v>POL</v>
      </c>
      <c r="C23" s="7" t="n">
        <f aca="false">03_CLEAN_DATA!C23</f>
        <v>2015</v>
      </c>
      <c r="D23" s="11" t="n">
        <f aca="false">IF(C23=2010,IF(OR(03_CLEAN_DATA!H23="",INDEX($R$8:$R$11,MATCH(B23,$Q$8:$Q$11,0))=""),"",(03_CLEAN_DATA!H23/INDEX($R$8:$R$11,MATCH(B23,$Q$8:$Q$11,0))-1)*100),IF(OR(03_CLEAN_DATA!H23="",03_CLEAN_DATA!H22=""),"",(03_CLEAN_DATA!H23/03_CLEAN_DATA!H22-1)*100))</f>
        <v>6.60869741190786</v>
      </c>
      <c r="E23" s="11" t="n">
        <f aca="false">IF(OR(03_CLEAN_DATA!G23="",03_CLEAN_DATA!I23="",03_CLEAN_DATA!D23=""),"",(03_CLEAN_DATA!G23-03_CLEAN_DATA!I23)/03_CLEAN_DATA!D23*100)</f>
        <v>2.06784617731138</v>
      </c>
      <c r="F23" s="11" t="n">
        <f aca="false">IF(OR(03_CLEAN_DATA!G23="",03_CLEAN_DATA!I23="",03_CLEAN_DATA!D23=""),"",(03_CLEAN_DATA!G23+03_CLEAN_DATA!I23)/03_CLEAN_DATA!D23*100)</f>
        <v>92.2554272741942</v>
      </c>
      <c r="G23" s="12" t="n">
        <f aca="false">IF(OR(F23="",03_CLEAN_DATA!L23=""),"",F23-03_CLEAN_DATA!L23)</f>
        <v>0</v>
      </c>
      <c r="H23" s="13" t="n">
        <f aca="false">IF(03_CLEAN_DATA!H23="","",03_CLEAN_DATA!H23/SUMIFS(03_CLEAN_DATA!$H$2:$H$65,03_CLEAN_DATA!$B$2:$B$65,B23,03_CLEAN_DATA!$C$2:$C$65,$R$4)*100)</f>
        <v>132.30337348643</v>
      </c>
      <c r="I23" s="7" t="str">
        <f aca="false">IF(C23&lt;=2019,"Pre-COVID (2010-2019)",IF(C23&lt;=2021,"COVID (2020-2021)","Post-COVID (2022-2025)"))</f>
        <v>Pre-COVID (2010-2019)</v>
      </c>
      <c r="J23" s="7" t="str">
        <f aca="false">IF(04_CALCULATIONS!D23="","MISSING",TRIM(IF(OR(04_CALCULATIONS!D23&lt;$T$15,04_CALCULATIONS!D23&gt;$U$15),"IQR ","")&amp;IF(ABS((04_CALCULATIONS!D23-AVERAGE(04_CALCULATIONS!$D$18:$D$33))/STDEV(04_CALCULATIONS!$D$18:$D$33))&gt;$R$3," Z","")&amp;IF($C23=2010," Rebound","")))</f>
        <v/>
      </c>
      <c r="K23" s="7" t="str">
        <f aca="false">IF(03_CLEAN_DATA!E23="","MISSING",TRIM(IF(OR(03_CLEAN_DATA!E23&lt;$T$16,03_CLEAN_DATA!E23&gt;$U$16),"IQR ","")&amp;IF(ABS((03_CLEAN_DATA!E23-AVERAGE(03_CLEAN_DATA!$E$18:$E$33))/STDEV(03_CLEAN_DATA!$E$18:$E$33))&gt;$R$3," Z","")))</f>
        <v/>
      </c>
      <c r="L23" s="7" t="str">
        <f aca="false">IF(03_CLEAN_DATA!N23="","MISSING",TRIM(IF(OR(03_CLEAN_DATA!N23&lt;$T$17,03_CLEAN_DATA!N23&gt;$U$17),"IQR ","")&amp;IF(ABS((03_CLEAN_DATA!N23-AVERAGE(03_CLEAN_DATA!$N$18:$N$33))/STDEV(03_CLEAN_DATA!$N$18:$N$33))&gt;$R$3," Z","")))</f>
        <v/>
      </c>
      <c r="M23" s="7" t="str">
        <f aca="false">IF(03_CLEAN_DATA!O23="","MISSING",TRIM(IF(OR(03_CLEAN_DATA!O23&lt;$T$18,03_CLEAN_DATA!O23&gt;$U$18),"IQR ","")&amp;IF(ABS((03_CLEAN_DATA!O23-AVERAGE(03_CLEAN_DATA!$O$18:$O$33))/STDEV(03_CLEAN_DATA!$O$18:$O$33))&gt;$R$3," Z","")))</f>
        <v/>
      </c>
      <c r="N23" s="7" t="str">
        <f aca="false">IF(04_CALCULATIONS!E23="","MISSING",TRIM(IF(OR(04_CALCULATIONS!E23&lt;$T$19,04_CALCULATIONS!E23&gt;$U$19),"IQR ","")&amp;IF(ABS((04_CALCULATIONS!E23-AVERAGE(04_CALCULATIONS!$E$18:$E$33))/STDEV(04_CALCULATIONS!$E$18:$E$33))&gt;$R$3," Z","")))</f>
        <v/>
      </c>
      <c r="O23" s="7" t="str">
        <f aca="false">IF(03_CLEAN_DATA!L23="","MISSING",TRIM(IF(OR(03_CLEAN_DATA!L23&lt;$T$20,03_CLEAN_DATA!L23&gt;$U$20),"IQR ","")&amp;IF(ABS((03_CLEAN_DATA!L23-AVERAGE(03_CLEAN_DATA!$L$18:$L$33))/STDEV(03_CLEAN_DATA!$L$18:$L$33))&gt;$R$3," Z","")))</f>
        <v/>
      </c>
    </row>
    <row r="24" customFormat="false" ht="15" hidden="false" customHeight="false" outlineLevel="0" collapsed="false">
      <c r="A24" s="7" t="str">
        <f aca="false">03_CLEAN_DATA!A24</f>
        <v>Poland</v>
      </c>
      <c r="B24" s="7" t="str">
        <f aca="false">03_CLEAN_DATA!B24</f>
        <v>POL</v>
      </c>
      <c r="C24" s="7" t="n">
        <f aca="false">03_CLEAN_DATA!C24</f>
        <v>2016</v>
      </c>
      <c r="D24" s="11" t="n">
        <f aca="false">IF(C24=2010,IF(OR(03_CLEAN_DATA!H24="",INDEX($R$8:$R$11,MATCH(B24,$Q$8:$Q$11,0))=""),"",(03_CLEAN_DATA!H24/INDEX($R$8:$R$11,MATCH(B24,$Q$8:$Q$11,0))-1)*100),IF(OR(03_CLEAN_DATA!H24="",03_CLEAN_DATA!H23=""),"",(03_CLEAN_DATA!H24/03_CLEAN_DATA!H23-1)*100))</f>
        <v>8.95924632654461</v>
      </c>
      <c r="E24" s="11" t="n">
        <f aca="false">IF(OR(03_CLEAN_DATA!G24="",03_CLEAN_DATA!I24="",03_CLEAN_DATA!D24=""),"",(03_CLEAN_DATA!G24-03_CLEAN_DATA!I24)/03_CLEAN_DATA!D24*100)</f>
        <v>2.94695491864769</v>
      </c>
      <c r="F24" s="11" t="n">
        <f aca="false">IF(OR(03_CLEAN_DATA!G24="",03_CLEAN_DATA!I24="",03_CLEAN_DATA!D24=""),"",(03_CLEAN_DATA!G24+03_CLEAN_DATA!I24)/03_CLEAN_DATA!D24*100)</f>
        <v>96.8659028060623</v>
      </c>
      <c r="G24" s="12" t="n">
        <f aca="false">IF(OR(F24="",03_CLEAN_DATA!L24=""),"",F24-03_CLEAN_DATA!L24)</f>
        <v>0</v>
      </c>
      <c r="H24" s="13" t="n">
        <f aca="false">IF(03_CLEAN_DATA!H24="","",03_CLEAN_DATA!H24/SUMIFS(03_CLEAN_DATA!$H$2:$H$65,03_CLEAN_DATA!$B$2:$B$65,B24,03_CLEAN_DATA!$C$2:$C$65,$R$4)*100)</f>
        <v>144.156758615408</v>
      </c>
      <c r="I24" s="7" t="str">
        <f aca="false">IF(C24&lt;=2019,"Pre-COVID (2010-2019)",IF(C24&lt;=2021,"COVID (2020-2021)","Post-COVID (2022-2025)"))</f>
        <v>Pre-COVID (2010-2019)</v>
      </c>
      <c r="J24" s="7" t="str">
        <f aca="false">IF(04_CALCULATIONS!D24="","MISSING",TRIM(IF(OR(04_CALCULATIONS!D24&lt;$T$15,04_CALCULATIONS!D24&gt;$U$15),"IQR ","")&amp;IF(ABS((04_CALCULATIONS!D24-AVERAGE(04_CALCULATIONS!$D$18:$D$33))/STDEV(04_CALCULATIONS!$D$18:$D$33))&gt;$R$3," Z","")&amp;IF($C24=2010," Rebound","")))</f>
        <v/>
      </c>
      <c r="K24" s="7" t="str">
        <f aca="false">IF(03_CLEAN_DATA!E24="","MISSING",TRIM(IF(OR(03_CLEAN_DATA!E24&lt;$T$16,03_CLEAN_DATA!E24&gt;$U$16),"IQR ","")&amp;IF(ABS((03_CLEAN_DATA!E24-AVERAGE(03_CLEAN_DATA!$E$18:$E$33))/STDEV(03_CLEAN_DATA!$E$18:$E$33))&gt;$R$3," Z","")))</f>
        <v/>
      </c>
      <c r="L24" s="7" t="str">
        <f aca="false">IF(03_CLEAN_DATA!N24="","MISSING",TRIM(IF(OR(03_CLEAN_DATA!N24&lt;$T$17,03_CLEAN_DATA!N24&gt;$U$17),"IQR ","")&amp;IF(ABS((03_CLEAN_DATA!N24-AVERAGE(03_CLEAN_DATA!$N$18:$N$33))/STDEV(03_CLEAN_DATA!$N$18:$N$33))&gt;$R$3," Z","")))</f>
        <v/>
      </c>
      <c r="M24" s="7" t="str">
        <f aca="false">IF(03_CLEAN_DATA!O24="","MISSING",TRIM(IF(OR(03_CLEAN_DATA!O24&lt;$T$18,03_CLEAN_DATA!O24&gt;$U$18),"IQR ","")&amp;IF(ABS((03_CLEAN_DATA!O24-AVERAGE(03_CLEAN_DATA!$O$18:$O$33))/STDEV(03_CLEAN_DATA!$O$18:$O$33))&gt;$R$3," Z","")))</f>
        <v/>
      </c>
      <c r="N24" s="7" t="str">
        <f aca="false">IF(04_CALCULATIONS!E24="","MISSING",TRIM(IF(OR(04_CALCULATIONS!E24&lt;$T$19,04_CALCULATIONS!E24&gt;$U$19),"IQR ","")&amp;IF(ABS((04_CALCULATIONS!E24-AVERAGE(04_CALCULATIONS!$E$18:$E$33))/STDEV(04_CALCULATIONS!$E$18:$E$33))&gt;$R$3," Z","")))</f>
        <v/>
      </c>
      <c r="O24" s="7" t="str">
        <f aca="false">IF(03_CLEAN_DATA!L24="","MISSING",TRIM(IF(OR(03_CLEAN_DATA!L24&lt;$T$20,03_CLEAN_DATA!L24&gt;$U$20),"IQR ","")&amp;IF(ABS((03_CLEAN_DATA!L24-AVERAGE(03_CLEAN_DATA!$L$18:$L$33))/STDEV(03_CLEAN_DATA!$L$18:$L$33))&gt;$R$3," Z","")))</f>
        <v/>
      </c>
    </row>
    <row r="25" customFormat="false" ht="15" hidden="false" customHeight="false" outlineLevel="0" collapsed="false">
      <c r="A25" s="7" t="str">
        <f aca="false">03_CLEAN_DATA!A25</f>
        <v>Poland</v>
      </c>
      <c r="B25" s="7" t="str">
        <f aca="false">03_CLEAN_DATA!B25</f>
        <v>POL</v>
      </c>
      <c r="C25" s="7" t="n">
        <f aca="false">03_CLEAN_DATA!C25</f>
        <v>2017</v>
      </c>
      <c r="D25" s="11" t="n">
        <f aca="false">IF(C25=2010,IF(OR(03_CLEAN_DATA!H25="",INDEX($R$8:$R$11,MATCH(B25,$Q$8:$Q$11,0))=""),"",(03_CLEAN_DATA!H25/INDEX($R$8:$R$11,MATCH(B25,$Q$8:$Q$11,0))-1)*100),IF(OR(03_CLEAN_DATA!H25="",03_CLEAN_DATA!H24=""),"",(03_CLEAN_DATA!H25/03_CLEAN_DATA!H24-1)*100))</f>
        <v>9.0919903643482</v>
      </c>
      <c r="E25" s="11" t="n">
        <f aca="false">IF(OR(03_CLEAN_DATA!G25="",03_CLEAN_DATA!I25="",03_CLEAN_DATA!D25=""),"",(03_CLEAN_DATA!G25-03_CLEAN_DATA!I25)/03_CLEAN_DATA!D25*100)</f>
        <v>2.81915991097923</v>
      </c>
      <c r="F25" s="11" t="n">
        <f aca="false">IF(OR(03_CLEAN_DATA!G25="",03_CLEAN_DATA!I25="",03_CLEAN_DATA!D25=""),"",(03_CLEAN_DATA!G25+03_CLEAN_DATA!I25)/03_CLEAN_DATA!D25*100)</f>
        <v>100.56589524628</v>
      </c>
      <c r="G25" s="12" t="n">
        <f aca="false">IF(OR(F25="",03_CLEAN_DATA!L25=""),"",F25-03_CLEAN_DATA!L25)</f>
        <v>0</v>
      </c>
      <c r="H25" s="13" t="n">
        <f aca="false">IF(03_CLEAN_DATA!H25="","",03_CLEAN_DATA!H25/SUMIFS(03_CLEAN_DATA!$H$2:$H$65,03_CLEAN_DATA!$B$2:$B$65,B25,03_CLEAN_DATA!$C$2:$C$65,$R$4)*100)</f>
        <v>157.263477218278</v>
      </c>
      <c r="I25" s="7" t="str">
        <f aca="false">IF(C25&lt;=2019,"Pre-COVID (2010-2019)",IF(C25&lt;=2021,"COVID (2020-2021)","Post-COVID (2022-2025)"))</f>
        <v>Pre-COVID (2010-2019)</v>
      </c>
      <c r="J25" s="7" t="str">
        <f aca="false">IF(04_CALCULATIONS!D25="","MISSING",TRIM(IF(OR(04_CALCULATIONS!D25&lt;$T$15,04_CALCULATIONS!D25&gt;$U$15),"IQR ","")&amp;IF(ABS((04_CALCULATIONS!D25-AVERAGE(04_CALCULATIONS!$D$18:$D$33))/STDEV(04_CALCULATIONS!$D$18:$D$33))&gt;$R$3," Z","")&amp;IF($C25=2010," Rebound","")))</f>
        <v/>
      </c>
      <c r="K25" s="7" t="str">
        <f aca="false">IF(03_CLEAN_DATA!E25="","MISSING",TRIM(IF(OR(03_CLEAN_DATA!E25&lt;$T$16,03_CLEAN_DATA!E25&gt;$U$16),"IQR ","")&amp;IF(ABS((03_CLEAN_DATA!E25-AVERAGE(03_CLEAN_DATA!$E$18:$E$33))/STDEV(03_CLEAN_DATA!$E$18:$E$33))&gt;$R$3," Z","")))</f>
        <v/>
      </c>
      <c r="L25" s="7" t="str">
        <f aca="false">IF(03_CLEAN_DATA!N25="","MISSING",TRIM(IF(OR(03_CLEAN_DATA!N25&lt;$T$17,03_CLEAN_DATA!N25&gt;$U$17),"IQR ","")&amp;IF(ABS((03_CLEAN_DATA!N25-AVERAGE(03_CLEAN_DATA!$N$18:$N$33))/STDEV(03_CLEAN_DATA!$N$18:$N$33))&gt;$R$3," Z","")))</f>
        <v/>
      </c>
      <c r="M25" s="7" t="str">
        <f aca="false">IF(03_CLEAN_DATA!O25="","MISSING",TRIM(IF(OR(03_CLEAN_DATA!O25&lt;$T$18,03_CLEAN_DATA!O25&gt;$U$18),"IQR ","")&amp;IF(ABS((03_CLEAN_DATA!O25-AVERAGE(03_CLEAN_DATA!$O$18:$O$33))/STDEV(03_CLEAN_DATA!$O$18:$O$33))&gt;$R$3," Z","")))</f>
        <v/>
      </c>
      <c r="N25" s="7" t="str">
        <f aca="false">IF(04_CALCULATIONS!E25="","MISSING",TRIM(IF(OR(04_CALCULATIONS!E25&lt;$T$19,04_CALCULATIONS!E25&gt;$U$19),"IQR ","")&amp;IF(ABS((04_CALCULATIONS!E25-AVERAGE(04_CALCULATIONS!$E$18:$E$33))/STDEV(04_CALCULATIONS!$E$18:$E$33))&gt;$R$3," Z","")))</f>
        <v/>
      </c>
      <c r="O25" s="7" t="str">
        <f aca="false">IF(03_CLEAN_DATA!L25="","MISSING",TRIM(IF(OR(03_CLEAN_DATA!L25&lt;$T$20,03_CLEAN_DATA!L25&gt;$U$20),"IQR ","")&amp;IF(ABS((03_CLEAN_DATA!L25-AVERAGE(03_CLEAN_DATA!$L$18:$L$33))/STDEV(03_CLEAN_DATA!$L$18:$L$33))&gt;$R$3," Z","")))</f>
        <v/>
      </c>
    </row>
    <row r="26" customFormat="false" ht="15" hidden="false" customHeight="false" outlineLevel="0" collapsed="false">
      <c r="A26" s="7" t="str">
        <f aca="false">03_CLEAN_DATA!A26</f>
        <v>Poland</v>
      </c>
      <c r="B26" s="7" t="str">
        <f aca="false">03_CLEAN_DATA!B26</f>
        <v>POL</v>
      </c>
      <c r="C26" s="7" t="n">
        <f aca="false">03_CLEAN_DATA!C26</f>
        <v>2018</v>
      </c>
      <c r="D26" s="11" t="n">
        <f aca="false">IF(C26=2010,IF(OR(03_CLEAN_DATA!H26="",INDEX($R$8:$R$11,MATCH(B26,$Q$8:$Q$11,0))=""),"",(03_CLEAN_DATA!H26/INDEX($R$8:$R$11,MATCH(B26,$Q$8:$Q$11,0))-1)*100),IF(OR(03_CLEAN_DATA!H26="",03_CLEAN_DATA!H25=""),"",(03_CLEAN_DATA!H26/03_CLEAN_DATA!H25-1)*100))</f>
        <v>6.75736767424613</v>
      </c>
      <c r="E26" s="11" t="n">
        <f aca="false">IF(OR(03_CLEAN_DATA!G26="",03_CLEAN_DATA!I26="",03_CLEAN_DATA!D26=""),"",(03_CLEAN_DATA!G26-03_CLEAN_DATA!I26)/03_CLEAN_DATA!D26*100)</f>
        <v>2.02268871994475</v>
      </c>
      <c r="F26" s="11" t="n">
        <f aca="false">IF(OR(03_CLEAN_DATA!G26="",03_CLEAN_DATA!I26="",03_CLEAN_DATA!D26=""),"",(03_CLEAN_DATA!G26+03_CLEAN_DATA!I26)/03_CLEAN_DATA!D26*100)</f>
        <v>102.442462168005</v>
      </c>
      <c r="G26" s="12" t="n">
        <f aca="false">IF(OR(F26="",03_CLEAN_DATA!L26=""),"",F26-03_CLEAN_DATA!L26)</f>
        <v>0</v>
      </c>
      <c r="H26" s="13" t="n">
        <f aca="false">IF(03_CLEAN_DATA!H26="","",03_CLEAN_DATA!H26/SUMIFS(03_CLEAN_DATA!$H$2:$H$65,03_CLEAN_DATA!$B$2:$B$65,B26,03_CLEAN_DATA!$C$2:$C$65,$R$4)*100)</f>
        <v>167.890348591221</v>
      </c>
      <c r="I26" s="7" t="str">
        <f aca="false">IF(C26&lt;=2019,"Pre-COVID (2010-2019)",IF(C26&lt;=2021,"COVID (2020-2021)","Post-COVID (2022-2025)"))</f>
        <v>Pre-COVID (2010-2019)</v>
      </c>
      <c r="J26" s="7" t="str">
        <f aca="false">IF(04_CALCULATIONS!D26="","MISSING",TRIM(IF(OR(04_CALCULATIONS!D26&lt;$T$15,04_CALCULATIONS!D26&gt;$U$15),"IQR ","")&amp;IF(ABS((04_CALCULATIONS!D26-AVERAGE(04_CALCULATIONS!$D$18:$D$33))/STDEV(04_CALCULATIONS!$D$18:$D$33))&gt;$R$3," Z","")&amp;IF($C26=2010," Rebound","")))</f>
        <v/>
      </c>
      <c r="K26" s="7" t="str">
        <f aca="false">IF(03_CLEAN_DATA!E26="","MISSING",TRIM(IF(OR(03_CLEAN_DATA!E26&lt;$T$16,03_CLEAN_DATA!E26&gt;$U$16),"IQR ","")&amp;IF(ABS((03_CLEAN_DATA!E26-AVERAGE(03_CLEAN_DATA!$E$18:$E$33))/STDEV(03_CLEAN_DATA!$E$18:$E$33))&gt;$R$3," Z","")))</f>
        <v/>
      </c>
      <c r="L26" s="7" t="str">
        <f aca="false">IF(03_CLEAN_DATA!N26="","MISSING",TRIM(IF(OR(03_CLEAN_DATA!N26&lt;$T$17,03_CLEAN_DATA!N26&gt;$U$17),"IQR ","")&amp;IF(ABS((03_CLEAN_DATA!N26-AVERAGE(03_CLEAN_DATA!$N$18:$N$33))/STDEV(03_CLEAN_DATA!$N$18:$N$33))&gt;$R$3," Z","")))</f>
        <v/>
      </c>
      <c r="M26" s="7" t="str">
        <f aca="false">IF(03_CLEAN_DATA!O26="","MISSING",TRIM(IF(OR(03_CLEAN_DATA!O26&lt;$T$18,03_CLEAN_DATA!O26&gt;$U$18),"IQR ","")&amp;IF(ABS((03_CLEAN_DATA!O26-AVERAGE(03_CLEAN_DATA!$O$18:$O$33))/STDEV(03_CLEAN_DATA!$O$18:$O$33))&gt;$R$3," Z","")))</f>
        <v/>
      </c>
      <c r="N26" s="7" t="str">
        <f aca="false">IF(04_CALCULATIONS!E26="","MISSING",TRIM(IF(OR(04_CALCULATIONS!E26&lt;$T$19,04_CALCULATIONS!E26&gt;$U$19),"IQR ","")&amp;IF(ABS((04_CALCULATIONS!E26-AVERAGE(04_CALCULATIONS!$E$18:$E$33))/STDEV(04_CALCULATIONS!$E$18:$E$33))&gt;$R$3," Z","")))</f>
        <v/>
      </c>
      <c r="O26" s="7" t="str">
        <f aca="false">IF(03_CLEAN_DATA!L26="","MISSING",TRIM(IF(OR(03_CLEAN_DATA!L26&lt;$T$20,03_CLEAN_DATA!L26&gt;$U$20),"IQR ","")&amp;IF(ABS((03_CLEAN_DATA!L26-AVERAGE(03_CLEAN_DATA!$L$18:$L$33))/STDEV(03_CLEAN_DATA!$L$18:$L$33))&gt;$R$3," Z","")))</f>
        <v/>
      </c>
    </row>
    <row r="27" customFormat="false" ht="15" hidden="false" customHeight="false" outlineLevel="0" collapsed="false">
      <c r="A27" s="7" t="str">
        <f aca="false">03_CLEAN_DATA!A27</f>
        <v>Poland</v>
      </c>
      <c r="B27" s="7" t="str">
        <f aca="false">03_CLEAN_DATA!B27</f>
        <v>POL</v>
      </c>
      <c r="C27" s="7" t="n">
        <f aca="false">03_CLEAN_DATA!C27</f>
        <v>2019</v>
      </c>
      <c r="D27" s="11" t="n">
        <f aca="false">IF(C27=2010,IF(OR(03_CLEAN_DATA!H27="",INDEX($R$8:$R$11,MATCH(B27,$Q$8:$Q$11,0))=""),"",(03_CLEAN_DATA!H27/INDEX($R$8:$R$11,MATCH(B27,$Q$8:$Q$11,0))-1)*100),IF(OR(03_CLEAN_DATA!H27="",03_CLEAN_DATA!H26=""),"",(03_CLEAN_DATA!H27/03_CLEAN_DATA!H26-1)*100))</f>
        <v>5.33745531975389</v>
      </c>
      <c r="E27" s="11" t="n">
        <f aca="false">IF(OR(03_CLEAN_DATA!G27="",03_CLEAN_DATA!I27="",03_CLEAN_DATA!D27=""),"",(03_CLEAN_DATA!G27-03_CLEAN_DATA!I27)/03_CLEAN_DATA!D27*100)</f>
        <v>3.64475314497559</v>
      </c>
      <c r="F27" s="11" t="n">
        <f aca="false">IF(OR(03_CLEAN_DATA!G27="",03_CLEAN_DATA!I27="",03_CLEAN_DATA!D27=""),"",(03_CLEAN_DATA!G27+03_CLEAN_DATA!I27)/03_CLEAN_DATA!D27*100)</f>
        <v>101.581033817373</v>
      </c>
      <c r="G27" s="12" t="n">
        <f aca="false">IF(OR(F27="",03_CLEAN_DATA!L27=""),"",F27-03_CLEAN_DATA!L27)</f>
        <v>0</v>
      </c>
      <c r="H27" s="13" t="n">
        <f aca="false">IF(03_CLEAN_DATA!H27="","",03_CLEAN_DATA!H27/SUMIFS(03_CLEAN_DATA!$H$2:$H$65,03_CLEAN_DATA!$B$2:$B$65,B27,03_CLEAN_DATA!$C$2:$C$65,$R$4)*100)</f>
        <v>176.851420933456</v>
      </c>
      <c r="I27" s="7" t="str">
        <f aca="false">IF(C27&lt;=2019,"Pre-COVID (2010-2019)",IF(C27&lt;=2021,"COVID (2020-2021)","Post-COVID (2022-2025)"))</f>
        <v>Pre-COVID (2010-2019)</v>
      </c>
      <c r="J27" s="7" t="str">
        <f aca="false">IF(04_CALCULATIONS!D27="","MISSING",TRIM(IF(OR(04_CALCULATIONS!D27&lt;$T$15,04_CALCULATIONS!D27&gt;$U$15),"IQR ","")&amp;IF(ABS((04_CALCULATIONS!D27-AVERAGE(04_CALCULATIONS!$D$18:$D$33))/STDEV(04_CALCULATIONS!$D$18:$D$33))&gt;$R$3," Z","")&amp;IF($C27=2010," Rebound","")))</f>
        <v/>
      </c>
      <c r="K27" s="7" t="str">
        <f aca="false">IF(03_CLEAN_DATA!E27="","MISSING",TRIM(IF(OR(03_CLEAN_DATA!E27&lt;$T$16,03_CLEAN_DATA!E27&gt;$U$16),"IQR ","")&amp;IF(ABS((03_CLEAN_DATA!E27-AVERAGE(03_CLEAN_DATA!$E$18:$E$33))/STDEV(03_CLEAN_DATA!$E$18:$E$33))&gt;$R$3," Z","")))</f>
        <v/>
      </c>
      <c r="L27" s="7" t="str">
        <f aca="false">IF(03_CLEAN_DATA!N27="","MISSING",TRIM(IF(OR(03_CLEAN_DATA!N27&lt;$T$17,03_CLEAN_DATA!N27&gt;$U$17),"IQR ","")&amp;IF(ABS((03_CLEAN_DATA!N27-AVERAGE(03_CLEAN_DATA!$N$18:$N$33))/STDEV(03_CLEAN_DATA!$N$18:$N$33))&gt;$R$3," Z","")))</f>
        <v/>
      </c>
      <c r="M27" s="7" t="str">
        <f aca="false">IF(03_CLEAN_DATA!O27="","MISSING",TRIM(IF(OR(03_CLEAN_DATA!O27&lt;$T$18,03_CLEAN_DATA!O27&gt;$U$18),"IQR ","")&amp;IF(ABS((03_CLEAN_DATA!O27-AVERAGE(03_CLEAN_DATA!$O$18:$O$33))/STDEV(03_CLEAN_DATA!$O$18:$O$33))&gt;$R$3," Z","")))</f>
        <v/>
      </c>
      <c r="N27" s="7" t="str">
        <f aca="false">IF(04_CALCULATIONS!E27="","MISSING",TRIM(IF(OR(04_CALCULATIONS!E27&lt;$T$19,04_CALCULATIONS!E27&gt;$U$19),"IQR ","")&amp;IF(ABS((04_CALCULATIONS!E27-AVERAGE(04_CALCULATIONS!$E$18:$E$33))/STDEV(04_CALCULATIONS!$E$18:$E$33))&gt;$R$3," Z","")))</f>
        <v/>
      </c>
      <c r="O27" s="7" t="str">
        <f aca="false">IF(03_CLEAN_DATA!L27="","MISSING",TRIM(IF(OR(03_CLEAN_DATA!L27&lt;$T$20,03_CLEAN_DATA!L27&gt;$U$20),"IQR ","")&amp;IF(ABS((03_CLEAN_DATA!L27-AVERAGE(03_CLEAN_DATA!$L$18:$L$33))/STDEV(03_CLEAN_DATA!$L$18:$L$33))&gt;$R$3," Z","")))</f>
        <v/>
      </c>
    </row>
    <row r="28" customFormat="false" ht="15" hidden="false" customHeight="false" outlineLevel="0" collapsed="false">
      <c r="A28" s="7" t="str">
        <f aca="false">03_CLEAN_DATA!A28</f>
        <v>Poland</v>
      </c>
      <c r="B28" s="7" t="str">
        <f aca="false">03_CLEAN_DATA!B28</f>
        <v>POL</v>
      </c>
      <c r="C28" s="7" t="n">
        <f aca="false">03_CLEAN_DATA!C28</f>
        <v>2020</v>
      </c>
      <c r="D28" s="11" t="n">
        <f aca="false">IF(C28=2010,IF(OR(03_CLEAN_DATA!H28="",INDEX($R$8:$R$11,MATCH(B28,$Q$8:$Q$11,0))=""),"",(03_CLEAN_DATA!H28/INDEX($R$8:$R$11,MATCH(B28,$Q$8:$Q$11,0))-1)*100),IF(OR(03_CLEAN_DATA!H28="",03_CLEAN_DATA!H27=""),"",(03_CLEAN_DATA!H28/03_CLEAN_DATA!H27-1)*100))</f>
        <v>-1.07566234288528</v>
      </c>
      <c r="E28" s="11" t="n">
        <f aca="false">IF(OR(03_CLEAN_DATA!G28="",03_CLEAN_DATA!I28="",03_CLEAN_DATA!D28=""),"",(03_CLEAN_DATA!G28-03_CLEAN_DATA!I28)/03_CLEAN_DATA!D28*100)</f>
        <v>5.60867980950595</v>
      </c>
      <c r="F28" s="11" t="n">
        <f aca="false">IF(OR(03_CLEAN_DATA!G28="",03_CLEAN_DATA!I28="",03_CLEAN_DATA!D28=""),"",(03_CLEAN_DATA!G28+03_CLEAN_DATA!I28)/03_CLEAN_DATA!D28*100)</f>
        <v>99.2590912303437</v>
      </c>
      <c r="G28" s="12" t="n">
        <f aca="false">IF(OR(F28="",03_CLEAN_DATA!L28=""),"",F28-03_CLEAN_DATA!L28)</f>
        <v>0</v>
      </c>
      <c r="H28" s="13" t="n">
        <f aca="false">IF(03_CLEAN_DATA!H28="","",03_CLEAN_DATA!H28/SUMIFS(03_CLEAN_DATA!$H$2:$H$65,03_CLEAN_DATA!$B$2:$B$65,B28,03_CLEAN_DATA!$C$2:$C$65,$R$4)*100)</f>
        <v>174.949096795618</v>
      </c>
      <c r="I28" s="7" t="str">
        <f aca="false">IF(C28&lt;=2019,"Pre-COVID (2010-2019)",IF(C28&lt;=2021,"COVID (2020-2021)","Post-COVID (2022-2025)"))</f>
        <v>COVID (2020-2021)</v>
      </c>
      <c r="J28" s="7" t="str">
        <f aca="false">IF(04_CALCULATIONS!D28="","MISSING",TRIM(IF(OR(04_CALCULATIONS!D28&lt;$T$15,04_CALCULATIONS!D28&gt;$U$15),"IQR ","")&amp;IF(ABS((04_CALCULATIONS!D28-AVERAGE(04_CALCULATIONS!$D$18:$D$33))/STDEV(04_CALCULATIONS!$D$18:$D$33))&gt;$R$3," Z","")&amp;IF($C28=2010," Rebound","")))</f>
        <v/>
      </c>
      <c r="K28" s="7" t="str">
        <f aca="false">IF(03_CLEAN_DATA!E28="","MISSING",TRIM(IF(OR(03_CLEAN_DATA!E28&lt;$T$16,03_CLEAN_DATA!E28&gt;$U$16),"IQR ","")&amp;IF(ABS((03_CLEAN_DATA!E28-AVERAGE(03_CLEAN_DATA!$E$18:$E$33))/STDEV(03_CLEAN_DATA!$E$18:$E$33))&gt;$R$3," Z","")))</f>
        <v/>
      </c>
      <c r="L28" s="7" t="str">
        <f aca="false">IF(03_CLEAN_DATA!N28="","MISSING",TRIM(IF(OR(03_CLEAN_DATA!N28&lt;$T$17,03_CLEAN_DATA!N28&gt;$U$17),"IQR ","")&amp;IF(ABS((03_CLEAN_DATA!N28-AVERAGE(03_CLEAN_DATA!$N$18:$N$33))/STDEV(03_CLEAN_DATA!$N$18:$N$33))&gt;$R$3," Z","")))</f>
        <v/>
      </c>
      <c r="M28" s="7" t="str">
        <f aca="false">IF(03_CLEAN_DATA!O28="","MISSING",TRIM(IF(OR(03_CLEAN_DATA!O28&lt;$T$18,03_CLEAN_DATA!O28&gt;$U$18),"IQR ","")&amp;IF(ABS((03_CLEAN_DATA!O28-AVERAGE(03_CLEAN_DATA!$O$18:$O$33))/STDEV(03_CLEAN_DATA!$O$18:$O$33))&gt;$R$3," Z","")))</f>
        <v/>
      </c>
      <c r="N28" s="7" t="str">
        <f aca="false">IF(04_CALCULATIONS!E28="","MISSING",TRIM(IF(OR(04_CALCULATIONS!E28&lt;$T$19,04_CALCULATIONS!E28&gt;$U$19),"IQR ","")&amp;IF(ABS((04_CALCULATIONS!E28-AVERAGE(04_CALCULATIONS!$E$18:$E$33))/STDEV(04_CALCULATIONS!$E$18:$E$33))&gt;$R$3," Z","")))</f>
        <v/>
      </c>
      <c r="O28" s="7" t="str">
        <f aca="false">IF(03_CLEAN_DATA!L28="","MISSING",TRIM(IF(OR(03_CLEAN_DATA!L28&lt;$T$20,03_CLEAN_DATA!L28&gt;$U$20),"IQR ","")&amp;IF(ABS((03_CLEAN_DATA!L28-AVERAGE(03_CLEAN_DATA!$L$18:$L$33))/STDEV(03_CLEAN_DATA!$L$18:$L$33))&gt;$R$3," Z","")))</f>
        <v/>
      </c>
    </row>
    <row r="29" customFormat="false" ht="15" hidden="false" customHeight="false" outlineLevel="0" collapsed="false">
      <c r="A29" s="7" t="str">
        <f aca="false">03_CLEAN_DATA!A29</f>
        <v>Poland</v>
      </c>
      <c r="B29" s="7" t="str">
        <f aca="false">03_CLEAN_DATA!B29</f>
        <v>POL</v>
      </c>
      <c r="C29" s="7" t="n">
        <f aca="false">03_CLEAN_DATA!C29</f>
        <v>2021</v>
      </c>
      <c r="D29" s="11" t="n">
        <f aca="false">IF(C29=2010,IF(OR(03_CLEAN_DATA!H29="",INDEX($R$8:$R$11,MATCH(B29,$Q$8:$Q$11,0))=""),"",(03_CLEAN_DATA!H29/INDEX($R$8:$R$11,MATCH(B29,$Q$8:$Q$11,0))-1)*100),IF(OR(03_CLEAN_DATA!H29="",03_CLEAN_DATA!H28=""),"",(03_CLEAN_DATA!H29/03_CLEAN_DATA!H28-1)*100))</f>
        <v>12.3031677387779</v>
      </c>
      <c r="E29" s="11" t="n">
        <f aca="false">IF(OR(03_CLEAN_DATA!G29="",03_CLEAN_DATA!I29="",03_CLEAN_DATA!D29=""),"",(03_CLEAN_DATA!G29-03_CLEAN_DATA!I29)/03_CLEAN_DATA!D29*100)</f>
        <v>3.20166912265852</v>
      </c>
      <c r="F29" s="11" t="n">
        <f aca="false">IF(OR(03_CLEAN_DATA!G29="",03_CLEAN_DATA!I29="",03_CLEAN_DATA!D29=""),"",(03_CLEAN_DATA!G29+03_CLEAN_DATA!I29)/03_CLEAN_DATA!D29*100)</f>
        <v>110.874283021945</v>
      </c>
      <c r="G29" s="12" t="n">
        <f aca="false">IF(OR(F29="",03_CLEAN_DATA!L29=""),"",F29-03_CLEAN_DATA!L29)</f>
        <v>0</v>
      </c>
      <c r="H29" s="13" t="n">
        <f aca="false">IF(03_CLEAN_DATA!H29="","",03_CLEAN_DATA!H29/SUMIFS(03_CLEAN_DATA!$H$2:$H$65,03_CLEAN_DATA!$B$2:$B$65,B29,03_CLEAN_DATA!$C$2:$C$65,$R$4)*100)</f>
        <v>196.473377631859</v>
      </c>
      <c r="I29" s="7" t="str">
        <f aca="false">IF(C29&lt;=2019,"Pre-COVID (2010-2019)",IF(C29&lt;=2021,"COVID (2020-2021)","Post-COVID (2022-2025)"))</f>
        <v>COVID (2020-2021)</v>
      </c>
      <c r="J29" s="7" t="str">
        <f aca="false">IF(04_CALCULATIONS!D29="","MISSING",TRIM(IF(OR(04_CALCULATIONS!D29&lt;$T$15,04_CALCULATIONS!D29&gt;$U$15),"IQR ","")&amp;IF(ABS((04_CALCULATIONS!D29-AVERAGE(04_CALCULATIONS!$D$18:$D$33))/STDEV(04_CALCULATIONS!$D$18:$D$33))&gt;$R$3," Z","")&amp;IF($C29=2010," Rebound","")))</f>
        <v/>
      </c>
      <c r="K29" s="7" t="str">
        <f aca="false">IF(03_CLEAN_DATA!E29="","MISSING",TRIM(IF(OR(03_CLEAN_DATA!E29&lt;$T$16,03_CLEAN_DATA!E29&gt;$U$16),"IQR ","")&amp;IF(ABS((03_CLEAN_DATA!E29-AVERAGE(03_CLEAN_DATA!$E$18:$E$33))/STDEV(03_CLEAN_DATA!$E$18:$E$33))&gt;$R$3," Z","")))</f>
        <v/>
      </c>
      <c r="L29" s="7" t="str">
        <f aca="false">IF(03_CLEAN_DATA!N29="","MISSING",TRIM(IF(OR(03_CLEAN_DATA!N29&lt;$T$17,03_CLEAN_DATA!N29&gt;$U$17),"IQR ","")&amp;IF(ABS((03_CLEAN_DATA!N29-AVERAGE(03_CLEAN_DATA!$N$18:$N$33))/STDEV(03_CLEAN_DATA!$N$18:$N$33))&gt;$R$3," Z","")))</f>
        <v/>
      </c>
      <c r="M29" s="7" t="str">
        <f aca="false">IF(03_CLEAN_DATA!O29="","MISSING",TRIM(IF(OR(03_CLEAN_DATA!O29&lt;$T$18,03_CLEAN_DATA!O29&gt;$U$18),"IQR ","")&amp;IF(ABS((03_CLEAN_DATA!O29-AVERAGE(03_CLEAN_DATA!$O$18:$O$33))/STDEV(03_CLEAN_DATA!$O$18:$O$33))&gt;$R$3," Z","")))</f>
        <v/>
      </c>
      <c r="N29" s="7" t="str">
        <f aca="false">IF(04_CALCULATIONS!E29="","MISSING",TRIM(IF(OR(04_CALCULATIONS!E29&lt;$T$19,04_CALCULATIONS!E29&gt;$U$19),"IQR ","")&amp;IF(ABS((04_CALCULATIONS!E29-AVERAGE(04_CALCULATIONS!$E$18:$E$33))/STDEV(04_CALCULATIONS!$E$18:$E$33))&gt;$R$3," Z","")))</f>
        <v/>
      </c>
      <c r="O29" s="7" t="str">
        <f aca="false">IF(03_CLEAN_DATA!L29="","MISSING",TRIM(IF(OR(03_CLEAN_DATA!L29&lt;$T$20,03_CLEAN_DATA!L29&gt;$U$20),"IQR ","")&amp;IF(ABS((03_CLEAN_DATA!L29-AVERAGE(03_CLEAN_DATA!$L$18:$L$33))/STDEV(03_CLEAN_DATA!$L$18:$L$33))&gt;$R$3," Z","")))</f>
        <v/>
      </c>
    </row>
    <row r="30" customFormat="false" ht="15" hidden="false" customHeight="false" outlineLevel="0" collapsed="false">
      <c r="A30" s="7" t="str">
        <f aca="false">03_CLEAN_DATA!A30</f>
        <v>Poland</v>
      </c>
      <c r="B30" s="7" t="str">
        <f aca="false">03_CLEAN_DATA!B30</f>
        <v>POL</v>
      </c>
      <c r="C30" s="7" t="n">
        <f aca="false">03_CLEAN_DATA!C30</f>
        <v>2022</v>
      </c>
      <c r="D30" s="11" t="n">
        <f aca="false">IF(C30=2010,IF(OR(03_CLEAN_DATA!H30="",INDEX($R$8:$R$11,MATCH(B30,$Q$8:$Q$11,0))=""),"",(03_CLEAN_DATA!H30/INDEX($R$8:$R$11,MATCH(B30,$Q$8:$Q$11,0))-1)*100),IF(OR(03_CLEAN_DATA!H30="",03_CLEAN_DATA!H29=""),"",(03_CLEAN_DATA!H30/03_CLEAN_DATA!H29-1)*100))</f>
        <v>7.40565016437489</v>
      </c>
      <c r="E30" s="11" t="n">
        <f aca="false">IF(OR(03_CLEAN_DATA!G30="",03_CLEAN_DATA!I30="",03_CLEAN_DATA!D30=""),"",(03_CLEAN_DATA!G30-03_CLEAN_DATA!I30)/03_CLEAN_DATA!D30*100)</f>
        <v>1.68369963074634</v>
      </c>
      <c r="F30" s="11" t="n">
        <f aca="false">IF(OR(03_CLEAN_DATA!G30="",03_CLEAN_DATA!I30="",03_CLEAN_DATA!D30=""),"",(03_CLEAN_DATA!G30+03_CLEAN_DATA!I30)/03_CLEAN_DATA!D30*100)</f>
        <v>123.021332860345</v>
      </c>
      <c r="G30" s="12" t="n">
        <f aca="false">IF(OR(F30="",03_CLEAN_DATA!L30=""),"",F30-03_CLEAN_DATA!L30)</f>
        <v>0</v>
      </c>
      <c r="H30" s="13" t="n">
        <f aca="false">IF(03_CLEAN_DATA!H30="","",03_CLEAN_DATA!H30/SUMIFS(03_CLEAN_DATA!$H$2:$H$65,03_CLEAN_DATA!$B$2:$B$65,B30,03_CLEAN_DATA!$C$2:$C$65,$R$4)*100)</f>
        <v>211.023508645406</v>
      </c>
      <c r="I30" s="7" t="str">
        <f aca="false">IF(C30&lt;=2019,"Pre-COVID (2010-2019)",IF(C30&lt;=2021,"COVID (2020-2021)","Post-COVID (2022-2025)"))</f>
        <v>Post-COVID (2022-2025)</v>
      </c>
      <c r="J30" s="7" t="str">
        <f aca="false">IF(04_CALCULATIONS!D30="","MISSING",TRIM(IF(OR(04_CALCULATIONS!D30&lt;$T$15,04_CALCULATIONS!D30&gt;$U$15),"IQR ","")&amp;IF(ABS((04_CALCULATIONS!D30-AVERAGE(04_CALCULATIONS!$D$18:$D$33))/STDEV(04_CALCULATIONS!$D$18:$D$33))&gt;$R$3," Z","")&amp;IF($C30=2010," Rebound","")))</f>
        <v/>
      </c>
      <c r="K30" s="7" t="str">
        <f aca="false">IF(03_CLEAN_DATA!E30="","MISSING",TRIM(IF(OR(03_CLEAN_DATA!E30&lt;$T$16,03_CLEAN_DATA!E30&gt;$U$16),"IQR ","")&amp;IF(ABS((03_CLEAN_DATA!E30-AVERAGE(03_CLEAN_DATA!$E$18:$E$33))/STDEV(03_CLEAN_DATA!$E$18:$E$33))&gt;$R$3," Z","")))</f>
        <v/>
      </c>
      <c r="L30" s="7" t="str">
        <f aca="false">IF(03_CLEAN_DATA!N30="","MISSING",TRIM(IF(OR(03_CLEAN_DATA!N30&lt;$T$17,03_CLEAN_DATA!N30&gt;$U$17),"IQR ","")&amp;IF(ABS((03_CLEAN_DATA!N30-AVERAGE(03_CLEAN_DATA!$N$18:$N$33))/STDEV(03_CLEAN_DATA!$N$18:$N$33))&gt;$R$3," Z","")))</f>
        <v/>
      </c>
      <c r="M30" s="7" t="str">
        <f aca="false">IF(03_CLEAN_DATA!O30="","MISSING",TRIM(IF(OR(03_CLEAN_DATA!O30&lt;$T$18,03_CLEAN_DATA!O30&gt;$U$18),"IQR ","")&amp;IF(ABS((03_CLEAN_DATA!O30-AVERAGE(03_CLEAN_DATA!$O$18:$O$33))/STDEV(03_CLEAN_DATA!$O$18:$O$33))&gt;$R$3," Z","")))</f>
        <v/>
      </c>
      <c r="N30" s="7" t="str">
        <f aca="false">IF(04_CALCULATIONS!E30="","MISSING",TRIM(IF(OR(04_CALCULATIONS!E30&lt;$T$19,04_CALCULATIONS!E30&gt;$U$19),"IQR ","")&amp;IF(ABS((04_CALCULATIONS!E30-AVERAGE(04_CALCULATIONS!$E$18:$E$33))/STDEV(04_CALCULATIONS!$E$18:$E$33))&gt;$R$3," Z","")))</f>
        <v/>
      </c>
      <c r="O30" s="7" t="str">
        <f aca="false">IF(03_CLEAN_DATA!L30="","MISSING",TRIM(IF(OR(03_CLEAN_DATA!L30&lt;$T$20,03_CLEAN_DATA!L30&gt;$U$20),"IQR ","")&amp;IF(ABS((03_CLEAN_DATA!L30-AVERAGE(03_CLEAN_DATA!$L$18:$L$33))/STDEV(03_CLEAN_DATA!$L$18:$L$33))&gt;$R$3," Z","")))</f>
        <v/>
      </c>
    </row>
    <row r="31" customFormat="false" ht="15" hidden="false" customHeight="false" outlineLevel="0" collapsed="false">
      <c r="A31" s="7" t="str">
        <f aca="false">03_CLEAN_DATA!A31</f>
        <v>Poland</v>
      </c>
      <c r="B31" s="7" t="str">
        <f aca="false">03_CLEAN_DATA!B31</f>
        <v>POL</v>
      </c>
      <c r="C31" s="7" t="n">
        <f aca="false">03_CLEAN_DATA!C31</f>
        <v>2023</v>
      </c>
      <c r="D31" s="11" t="n">
        <f aca="false">IF(C31=2010,IF(OR(03_CLEAN_DATA!H31="",INDEX($R$8:$R$11,MATCH(B31,$Q$8:$Q$11,0))=""),"",(03_CLEAN_DATA!H31/INDEX($R$8:$R$11,MATCH(B31,$Q$8:$Q$11,0))-1)*100),IF(OR(03_CLEAN_DATA!H31="",03_CLEAN_DATA!H30=""),"",(03_CLEAN_DATA!H31/03_CLEAN_DATA!H30-1)*100))</f>
        <v>3.716713714528</v>
      </c>
      <c r="E31" s="11" t="n">
        <f aca="false">IF(OR(03_CLEAN_DATA!G31="",03_CLEAN_DATA!I31="",03_CLEAN_DATA!D31=""),"",(03_CLEAN_DATA!G31-03_CLEAN_DATA!I31)/03_CLEAN_DATA!D31*100)</f>
        <v>5.73760699727163</v>
      </c>
      <c r="F31" s="11" t="n">
        <f aca="false">IF(OR(03_CLEAN_DATA!G31="",03_CLEAN_DATA!I31="",03_CLEAN_DATA!D31=""),"",(03_CLEAN_DATA!G31+03_CLEAN_DATA!I31)/03_CLEAN_DATA!D31*100)</f>
        <v>110.024935041815</v>
      </c>
      <c r="G31" s="12" t="n">
        <f aca="false">IF(OR(F31="",03_CLEAN_DATA!L31=""),"",F31-03_CLEAN_DATA!L31)</f>
        <v>0</v>
      </c>
      <c r="H31" s="13" t="n">
        <f aca="false">IF(03_CLEAN_DATA!H31="","",03_CLEAN_DATA!H31/SUMIFS(03_CLEAN_DATA!$H$2:$H$65,03_CLEAN_DATA!$B$2:$B$65,B31,03_CLEAN_DATA!$C$2:$C$65,$R$4)*100)</f>
        <v>218.866648332108</v>
      </c>
      <c r="I31" s="7" t="str">
        <f aca="false">IF(C31&lt;=2019,"Pre-COVID (2010-2019)",IF(C31&lt;=2021,"COVID (2020-2021)","Post-COVID (2022-2025)"))</f>
        <v>Post-COVID (2022-2025)</v>
      </c>
      <c r="J31" s="7" t="str">
        <f aca="false">IF(04_CALCULATIONS!D31="","MISSING",TRIM(IF(OR(04_CALCULATIONS!D31&lt;$T$15,04_CALCULATIONS!D31&gt;$U$15),"IQR ","")&amp;IF(ABS((04_CALCULATIONS!D31-AVERAGE(04_CALCULATIONS!$D$18:$D$33))/STDEV(04_CALCULATIONS!$D$18:$D$33))&gt;$R$3," Z","")&amp;IF($C31=2010," Rebound","")))</f>
        <v/>
      </c>
      <c r="K31" s="7" t="str">
        <f aca="false">IF(03_CLEAN_DATA!E31="","MISSING",TRIM(IF(OR(03_CLEAN_DATA!E31&lt;$T$16,03_CLEAN_DATA!E31&gt;$U$16),"IQR ","")&amp;IF(ABS((03_CLEAN_DATA!E31-AVERAGE(03_CLEAN_DATA!$E$18:$E$33))/STDEV(03_CLEAN_DATA!$E$18:$E$33))&gt;$R$3," Z","")))</f>
        <v/>
      </c>
      <c r="L31" s="7" t="str">
        <f aca="false">IF(03_CLEAN_DATA!N31="","MISSING",TRIM(IF(OR(03_CLEAN_DATA!N31&lt;$T$17,03_CLEAN_DATA!N31&gt;$U$17),"IQR ","")&amp;IF(ABS((03_CLEAN_DATA!N31-AVERAGE(03_CLEAN_DATA!$N$18:$N$33))/STDEV(03_CLEAN_DATA!$N$18:$N$33))&gt;$R$3," Z","")))</f>
        <v/>
      </c>
      <c r="M31" s="7" t="str">
        <f aca="false">IF(03_CLEAN_DATA!O31="","MISSING",TRIM(IF(OR(03_CLEAN_DATA!O31&lt;$T$18,03_CLEAN_DATA!O31&gt;$U$18),"IQR ","")&amp;IF(ABS((03_CLEAN_DATA!O31-AVERAGE(03_CLEAN_DATA!$O$18:$O$33))/STDEV(03_CLEAN_DATA!$O$18:$O$33))&gt;$R$3," Z","")))</f>
        <v/>
      </c>
      <c r="N31" s="7" t="str">
        <f aca="false">IF(04_CALCULATIONS!E31="","MISSING",TRIM(IF(OR(04_CALCULATIONS!E31&lt;$T$19,04_CALCULATIONS!E31&gt;$U$19),"IQR ","")&amp;IF(ABS((04_CALCULATIONS!E31-AVERAGE(04_CALCULATIONS!$E$18:$E$33))/STDEV(04_CALCULATIONS!$E$18:$E$33))&gt;$R$3," Z","")))</f>
        <v/>
      </c>
      <c r="O31" s="7" t="str">
        <f aca="false">IF(03_CLEAN_DATA!L31="","MISSING",TRIM(IF(OR(03_CLEAN_DATA!L31&lt;$T$20,03_CLEAN_DATA!L31&gt;$U$20),"IQR ","")&amp;IF(ABS((03_CLEAN_DATA!L31-AVERAGE(03_CLEAN_DATA!$L$18:$L$33))/STDEV(03_CLEAN_DATA!$L$18:$L$33))&gt;$R$3," Z","")))</f>
        <v/>
      </c>
    </row>
    <row r="32" customFormat="false" ht="15" hidden="false" customHeight="false" outlineLevel="0" collapsed="false">
      <c r="A32" s="7" t="str">
        <f aca="false">03_CLEAN_DATA!A32</f>
        <v>Poland</v>
      </c>
      <c r="B32" s="7" t="str">
        <f aca="false">03_CLEAN_DATA!B32</f>
        <v>POL</v>
      </c>
      <c r="C32" s="7" t="n">
        <f aca="false">03_CLEAN_DATA!C32</f>
        <v>2024</v>
      </c>
      <c r="D32" s="11" t="n">
        <f aca="false">IF(C32=2010,IF(OR(03_CLEAN_DATA!H32="",INDEX($R$8:$R$11,MATCH(B32,$Q$8:$Q$11,0))=""),"",(03_CLEAN_DATA!H32/INDEX($R$8:$R$11,MATCH(B32,$Q$8:$Q$11,0))-1)*100),IF(OR(03_CLEAN_DATA!H32="",03_CLEAN_DATA!H31=""),"",(03_CLEAN_DATA!H32/03_CLEAN_DATA!H31-1)*100))</f>
        <v>2.00034070114321</v>
      </c>
      <c r="E32" s="11" t="n">
        <f aca="false">IF(OR(03_CLEAN_DATA!G32="",03_CLEAN_DATA!I32="",03_CLEAN_DATA!D32=""),"",(03_CLEAN_DATA!G32-03_CLEAN_DATA!I32)/03_CLEAN_DATA!D32*100)</f>
        <v>4.0001839366382</v>
      </c>
      <c r="F32" s="11" t="n">
        <f aca="false">IF(OR(03_CLEAN_DATA!G32="",03_CLEAN_DATA!I32="",03_CLEAN_DATA!D32=""),"",(03_CLEAN_DATA!G32+03_CLEAN_DATA!I32)/03_CLEAN_DATA!D32*100)</f>
        <v>100.359442847164</v>
      </c>
      <c r="G32" s="12" t="n">
        <f aca="false">IF(OR(F32="",03_CLEAN_DATA!L32=""),"",F32-03_CLEAN_DATA!L32)</f>
        <v>0</v>
      </c>
      <c r="H32" s="13" t="n">
        <f aca="false">IF(03_CLEAN_DATA!H32="","",03_CLEAN_DATA!H32/SUMIFS(03_CLEAN_DATA!$H$2:$H$65,03_CLEAN_DATA!$B$2:$B$65,B32,03_CLEAN_DATA!$C$2:$C$65,$R$4)*100)</f>
        <v>223.244726979923</v>
      </c>
      <c r="I32" s="7" t="str">
        <f aca="false">IF(C32&lt;=2019,"Pre-COVID (2010-2019)",IF(C32&lt;=2021,"COVID (2020-2021)","Post-COVID (2022-2025)"))</f>
        <v>Post-COVID (2022-2025)</v>
      </c>
      <c r="J32" s="7" t="str">
        <f aca="false">IF(04_CALCULATIONS!D32="","MISSING",TRIM(IF(OR(04_CALCULATIONS!D32&lt;$T$15,04_CALCULATIONS!D32&gt;$U$15),"IQR ","")&amp;IF(ABS((04_CALCULATIONS!D32-AVERAGE(04_CALCULATIONS!$D$18:$D$33))/STDEV(04_CALCULATIONS!$D$18:$D$33))&gt;$R$3," Z","")&amp;IF($C32=2010," Rebound","")))</f>
        <v/>
      </c>
      <c r="K32" s="7" t="str">
        <f aca="false">IF(03_CLEAN_DATA!E32="","MISSING",TRIM(IF(OR(03_CLEAN_DATA!E32&lt;$T$16,03_CLEAN_DATA!E32&gt;$U$16),"IQR ","")&amp;IF(ABS((03_CLEAN_DATA!E32-AVERAGE(03_CLEAN_DATA!$E$18:$E$33))/STDEV(03_CLEAN_DATA!$E$18:$E$33))&gt;$R$3," Z","")))</f>
        <v/>
      </c>
      <c r="L32" s="7" t="str">
        <f aca="false">IF(03_CLEAN_DATA!N32="","MISSING",TRIM(IF(OR(03_CLEAN_DATA!N32&lt;$T$17,03_CLEAN_DATA!N32&gt;$U$17),"IQR ","")&amp;IF(ABS((03_CLEAN_DATA!N32-AVERAGE(03_CLEAN_DATA!$N$18:$N$33))/STDEV(03_CLEAN_DATA!$N$18:$N$33))&gt;$R$3," Z","")))</f>
        <v/>
      </c>
      <c r="M32" s="7" t="str">
        <f aca="false">IF(03_CLEAN_DATA!O32="","MISSING",TRIM(IF(OR(03_CLEAN_DATA!O32&lt;$T$18,03_CLEAN_DATA!O32&gt;$U$18),"IQR ","")&amp;IF(ABS((03_CLEAN_DATA!O32-AVERAGE(03_CLEAN_DATA!$O$18:$O$33))/STDEV(03_CLEAN_DATA!$O$18:$O$33))&gt;$R$3," Z","")))</f>
        <v/>
      </c>
      <c r="N32" s="7" t="str">
        <f aca="false">IF(04_CALCULATIONS!E32="","MISSING",TRIM(IF(OR(04_CALCULATIONS!E32&lt;$T$19,04_CALCULATIONS!E32&gt;$U$19),"IQR ","")&amp;IF(ABS((04_CALCULATIONS!E32-AVERAGE(04_CALCULATIONS!$E$18:$E$33))/STDEV(04_CALCULATIONS!$E$18:$E$33))&gt;$R$3," Z","")))</f>
        <v/>
      </c>
      <c r="O32" s="7" t="str">
        <f aca="false">IF(03_CLEAN_DATA!L32="","MISSING",TRIM(IF(OR(03_CLEAN_DATA!L32&lt;$T$20,03_CLEAN_DATA!L32&gt;$U$20),"IQR ","")&amp;IF(ABS((03_CLEAN_DATA!L32-AVERAGE(03_CLEAN_DATA!$L$18:$L$33))/STDEV(03_CLEAN_DATA!$L$18:$L$33))&gt;$R$3," Z","")))</f>
        <v/>
      </c>
    </row>
    <row r="33" customFormat="false" ht="15" hidden="false" customHeight="false" outlineLevel="0" collapsed="false">
      <c r="A33" s="7" t="str">
        <f aca="false">03_CLEAN_DATA!A33</f>
        <v>Poland</v>
      </c>
      <c r="B33" s="7" t="str">
        <f aca="false">03_CLEAN_DATA!B33</f>
        <v>POL</v>
      </c>
      <c r="C33" s="7" t="n">
        <f aca="false">03_CLEAN_DATA!C33</f>
        <v>2025</v>
      </c>
      <c r="D33" s="11" t="n">
        <f aca="false">IF(C33=2010,IF(OR(03_CLEAN_DATA!H33="",INDEX($R$8:$R$11,MATCH(B33,$Q$8:$Q$11,0))=""),"",(03_CLEAN_DATA!H33/INDEX($R$8:$R$11,MATCH(B33,$Q$8:$Q$11,0))-1)*100),IF(OR(03_CLEAN_DATA!H33="",03_CLEAN_DATA!H32=""),"",(03_CLEAN_DATA!H33/03_CLEAN_DATA!H32-1)*100))</f>
        <v>4.48112657246167</v>
      </c>
      <c r="E33" s="11" t="n">
        <f aca="false">IF(OR(03_CLEAN_DATA!G33="",03_CLEAN_DATA!I33="",03_CLEAN_DATA!D33=""),"",(03_CLEAN_DATA!G33-03_CLEAN_DATA!I33)/03_CLEAN_DATA!D33*100)</f>
        <v>2.870947943123</v>
      </c>
      <c r="F33" s="11" t="n">
        <f aca="false">IF(OR(03_CLEAN_DATA!G33="",03_CLEAN_DATA!I33="",03_CLEAN_DATA!D33=""),"",(03_CLEAN_DATA!G33+03_CLEAN_DATA!I33)/03_CLEAN_DATA!D33*100)</f>
        <v>97.0301822542829</v>
      </c>
      <c r="G33" s="12" t="n">
        <f aca="false">IF(OR(F33="",03_CLEAN_DATA!L33=""),"",F33-03_CLEAN_DATA!L33)</f>
        <v>0</v>
      </c>
      <c r="H33" s="13" t="n">
        <f aca="false">IF(03_CLEAN_DATA!H33="","",03_CLEAN_DATA!H33/SUMIFS(03_CLEAN_DATA!$H$2:$H$65,03_CLEAN_DATA!$B$2:$B$65,B33,03_CLEAN_DATA!$C$2:$C$65,$R$4)*100)</f>
        <v>233.24860576224</v>
      </c>
      <c r="I33" s="7" t="str">
        <f aca="false">IF(C33&lt;=2019,"Pre-COVID (2010-2019)",IF(C33&lt;=2021,"COVID (2020-2021)","Post-COVID (2022-2025)"))</f>
        <v>Post-COVID (2022-2025)</v>
      </c>
      <c r="J33" s="7" t="str">
        <f aca="false">IF(04_CALCULATIONS!D33="","MISSING",TRIM(IF(OR(04_CALCULATIONS!D33&lt;$T$15,04_CALCULATIONS!D33&gt;$U$15),"IQR ","")&amp;IF(ABS((04_CALCULATIONS!D33-AVERAGE(04_CALCULATIONS!$D$18:$D$33))/STDEV(04_CALCULATIONS!$D$18:$D$33))&gt;$R$3," Z","")&amp;IF($C33=2010," Rebound","")))</f>
        <v/>
      </c>
      <c r="K33" s="7" t="str">
        <f aca="false">IF(03_CLEAN_DATA!E33="","MISSING",TRIM(IF(OR(03_CLEAN_DATA!E33&lt;$T$16,03_CLEAN_DATA!E33&gt;$U$16),"IQR ","")&amp;IF(ABS((03_CLEAN_DATA!E33-AVERAGE(03_CLEAN_DATA!$E$18:$E$33))/STDEV(03_CLEAN_DATA!$E$18:$E$33))&gt;$R$3," Z","")))</f>
        <v/>
      </c>
      <c r="L33" s="7" t="str">
        <f aca="false">IF(03_CLEAN_DATA!N33="","MISSING",TRIM(IF(OR(03_CLEAN_DATA!N33&lt;$T$17,03_CLEAN_DATA!N33&gt;$U$17),"IQR ","")&amp;IF(ABS((03_CLEAN_DATA!N33-AVERAGE(03_CLEAN_DATA!$N$18:$N$33))/STDEV(03_CLEAN_DATA!$N$18:$N$33))&gt;$R$3," Z","")))</f>
        <v/>
      </c>
      <c r="M33" s="7" t="str">
        <f aca="false">IF(03_CLEAN_DATA!O33="","MISSING",TRIM(IF(OR(03_CLEAN_DATA!O33&lt;$T$18,03_CLEAN_DATA!O33&gt;$U$18),"IQR ","")&amp;IF(ABS((03_CLEAN_DATA!O33-AVERAGE(03_CLEAN_DATA!$O$18:$O$33))/STDEV(03_CLEAN_DATA!$O$18:$O$33))&gt;$R$3," Z","")))</f>
        <v/>
      </c>
      <c r="N33" s="7" t="str">
        <f aca="false">IF(04_CALCULATIONS!E33="","MISSING",TRIM(IF(OR(04_CALCULATIONS!E33&lt;$T$19,04_CALCULATIONS!E33&gt;$U$19),"IQR ","")&amp;IF(ABS((04_CALCULATIONS!E33-AVERAGE(04_CALCULATIONS!$E$18:$E$33))/STDEV(04_CALCULATIONS!$E$18:$E$33))&gt;$R$3," Z","")))</f>
        <v/>
      </c>
      <c r="O33" s="7" t="str">
        <f aca="false">IF(03_CLEAN_DATA!L33="","MISSING",TRIM(IF(OR(03_CLEAN_DATA!L33&lt;$T$20,03_CLEAN_DATA!L33&gt;$U$20),"IQR ","")&amp;IF(ABS((03_CLEAN_DATA!L33-AVERAGE(03_CLEAN_DATA!$L$18:$L$33))/STDEV(03_CLEAN_DATA!$L$18:$L$33))&gt;$R$3," Z","")))</f>
        <v/>
      </c>
    </row>
    <row r="34" customFormat="false" ht="15" hidden="false" customHeight="false" outlineLevel="0" collapsed="false">
      <c r="A34" s="7" t="str">
        <f aca="false">03_CLEAN_DATA!A34</f>
        <v>Czechia</v>
      </c>
      <c r="B34" s="7" t="str">
        <f aca="false">03_CLEAN_DATA!B34</f>
        <v>CZE</v>
      </c>
      <c r="C34" s="7" t="n">
        <f aca="false">03_CLEAN_DATA!C34</f>
        <v>2010</v>
      </c>
      <c r="D34" s="11" t="n">
        <f aca="false">IF(C34=2010,IF(OR(03_CLEAN_DATA!H34="",INDEX($R$8:$R$11,MATCH(B34,$Q$8:$Q$11,0))=""),"",(03_CLEAN_DATA!H34/INDEX($R$8:$R$11,MATCH(B34,$Q$8:$Q$11,0))-1)*100),IF(OR(03_CLEAN_DATA!H34="",03_CLEAN_DATA!H33=""),"",(03_CLEAN_DATA!H34/03_CLEAN_DATA!H33-1)*100))</f>
        <v>14.6575067880562</v>
      </c>
      <c r="E34" s="11" t="n">
        <f aca="false">IF(OR(03_CLEAN_DATA!G34="",03_CLEAN_DATA!I34="",03_CLEAN_DATA!D34=""),"",(03_CLEAN_DATA!G34-03_CLEAN_DATA!I34)/03_CLEAN_DATA!D34*100)</f>
        <v>3.02671591429822</v>
      </c>
      <c r="F34" s="11" t="n">
        <f aca="false">IF(OR(03_CLEAN_DATA!G34="",03_CLEAN_DATA!I34="",03_CLEAN_DATA!D34=""),"",(03_CLEAN_DATA!G34+03_CLEAN_DATA!I34)/03_CLEAN_DATA!D34*100)</f>
        <v>126.756480116797</v>
      </c>
      <c r="G34" s="12" t="n">
        <f aca="false">IF(OR(F34="",03_CLEAN_DATA!L34=""),"",F34-03_CLEAN_DATA!L34)</f>
        <v>-5.25801624462474E-013</v>
      </c>
      <c r="H34" s="13" t="n">
        <f aca="false">IF(03_CLEAN_DATA!H34="","",03_CLEAN_DATA!H34/SUMIFS(03_CLEAN_DATA!$H$2:$H$65,03_CLEAN_DATA!$B$2:$B$65,B34,03_CLEAN_DATA!$C$2:$C$65,$R$4)*100)</f>
        <v>100</v>
      </c>
      <c r="I34" s="7" t="str">
        <f aca="false">IF(C34&lt;=2019,"Pre-COVID (2010-2019)",IF(C34&lt;=2021,"COVID (2020-2021)","Post-COVID (2022-2025)"))</f>
        <v>Pre-COVID (2010-2019)</v>
      </c>
      <c r="J34" s="7" t="str">
        <f aca="false">IF(04_CALCULATIONS!D34="","MISSING",TRIM(IF(OR(04_CALCULATIONS!D34&lt;$T$15,04_CALCULATIONS!D34&gt;$U$15),"IQR ","")&amp;IF(ABS((04_CALCULATIONS!D34-AVERAGE(04_CALCULATIONS!$D$34:$D$49))/STDEV(04_CALCULATIONS!$D$34:$D$49))&gt;$R$3," Z","")&amp;IF($C34=2010," Rebound","")))</f>
        <v>Rebound</v>
      </c>
      <c r="K34" s="7" t="str">
        <f aca="false">IF(03_CLEAN_DATA!E34="","MISSING",TRIM(IF(OR(03_CLEAN_DATA!E34&lt;$T$16,03_CLEAN_DATA!E34&gt;$U$16),"IQR ","")&amp;IF(ABS((03_CLEAN_DATA!E34-AVERAGE(03_CLEAN_DATA!$E$34:$E$49))/STDEV(03_CLEAN_DATA!$E$34:$E$49))&gt;$R$3," Z","")))</f>
        <v/>
      </c>
      <c r="L34" s="7" t="str">
        <f aca="false">IF(03_CLEAN_DATA!N34="","MISSING",TRIM(IF(OR(03_CLEAN_DATA!N34&lt;$T$17,03_CLEAN_DATA!N34&gt;$U$17),"IQR ","")&amp;IF(ABS((03_CLEAN_DATA!N34-AVERAGE(03_CLEAN_DATA!$N$34:$N$49))/STDEV(03_CLEAN_DATA!$N$34:$N$49))&gt;$R$3," Z","")))</f>
        <v/>
      </c>
      <c r="M34" s="7" t="str">
        <f aca="false">IF(03_CLEAN_DATA!O34="","MISSING",TRIM(IF(OR(03_CLEAN_DATA!O34&lt;$T$18,03_CLEAN_DATA!O34&gt;$U$18),"IQR ","")&amp;IF(ABS((03_CLEAN_DATA!O34-AVERAGE(03_CLEAN_DATA!$O$34:$O$49))/STDEV(03_CLEAN_DATA!$O$34:$O$49))&gt;$R$3," Z","")))</f>
        <v/>
      </c>
      <c r="N34" s="7" t="str">
        <f aca="false">IF(04_CALCULATIONS!E34="","MISSING",TRIM(IF(OR(04_CALCULATIONS!E34&lt;$T$19,04_CALCULATIONS!E34&gt;$U$19),"IQR ","")&amp;IF(ABS((04_CALCULATIONS!E34-AVERAGE(04_CALCULATIONS!$E$34:$E$49))/STDEV(04_CALCULATIONS!$E$34:$E$49))&gt;$R$3," Z","")))</f>
        <v/>
      </c>
      <c r="O34" s="7" t="str">
        <f aca="false">IF(03_CLEAN_DATA!L34="","MISSING",TRIM(IF(OR(03_CLEAN_DATA!L34&lt;$T$20,03_CLEAN_DATA!L34&gt;$U$20),"IQR ","")&amp;IF(ABS((03_CLEAN_DATA!L34-AVERAGE(03_CLEAN_DATA!$L$34:$L$49))/STDEV(03_CLEAN_DATA!$L$34:$L$49))&gt;$R$3," Z","")))</f>
        <v/>
      </c>
    </row>
    <row r="35" customFormat="false" ht="15" hidden="false" customHeight="false" outlineLevel="0" collapsed="false">
      <c r="A35" s="7" t="str">
        <f aca="false">03_CLEAN_DATA!A35</f>
        <v>Czechia</v>
      </c>
      <c r="B35" s="7" t="str">
        <f aca="false">03_CLEAN_DATA!B35</f>
        <v>CZE</v>
      </c>
      <c r="C35" s="7" t="n">
        <f aca="false">03_CLEAN_DATA!C35</f>
        <v>2011</v>
      </c>
      <c r="D35" s="11" t="n">
        <f aca="false">IF(C35=2010,IF(OR(03_CLEAN_DATA!H35="",INDEX($R$8:$R$11,MATCH(B35,$Q$8:$Q$11,0))=""),"",(03_CLEAN_DATA!H35/INDEX($R$8:$R$11,MATCH(B35,$Q$8:$Q$11,0))-1)*100),IF(OR(03_CLEAN_DATA!H35="",03_CLEAN_DATA!H34=""),"",(03_CLEAN_DATA!H35/03_CLEAN_DATA!H34-1)*100))</f>
        <v>9.16251804304127</v>
      </c>
      <c r="E35" s="11" t="n">
        <f aca="false">IF(OR(03_CLEAN_DATA!G35="",03_CLEAN_DATA!I35="",03_CLEAN_DATA!D35=""),"",(03_CLEAN_DATA!G35-03_CLEAN_DATA!I35)/03_CLEAN_DATA!D35*100)</f>
        <v>3.75041968278711</v>
      </c>
      <c r="F35" s="11" t="n">
        <f aca="false">IF(OR(03_CLEAN_DATA!G35="",03_CLEAN_DATA!I35="",03_CLEAN_DATA!D35=""),"",(03_CLEAN_DATA!G35+03_CLEAN_DATA!I35)/03_CLEAN_DATA!D35*100)</f>
        <v>136.750855542438</v>
      </c>
      <c r="G35" s="12" t="n">
        <f aca="false">IF(OR(F35="",03_CLEAN_DATA!L35=""),"",F35-03_CLEAN_DATA!L35)</f>
        <v>0</v>
      </c>
      <c r="H35" s="13" t="n">
        <f aca="false">IF(03_CLEAN_DATA!H35="","",03_CLEAN_DATA!H35/SUMIFS(03_CLEAN_DATA!$H$2:$H$65,03_CLEAN_DATA!$B$2:$B$65,B35,03_CLEAN_DATA!$C$2:$C$65,$R$4)*100)</f>
        <v>109.162518043041</v>
      </c>
      <c r="I35" s="7" t="str">
        <f aca="false">IF(C35&lt;=2019,"Pre-COVID (2010-2019)",IF(C35&lt;=2021,"COVID (2020-2021)","Post-COVID (2022-2025)"))</f>
        <v>Pre-COVID (2010-2019)</v>
      </c>
      <c r="J35" s="7" t="str">
        <f aca="false">IF(04_CALCULATIONS!D35="","MISSING",TRIM(IF(OR(04_CALCULATIONS!D35&lt;$T$15,04_CALCULATIONS!D35&gt;$U$15),"IQR ","")&amp;IF(ABS((04_CALCULATIONS!D35-AVERAGE(04_CALCULATIONS!$D$34:$D$49))/STDEV(04_CALCULATIONS!$D$34:$D$49))&gt;$R$3," Z","")&amp;IF($C35=2010," Rebound","")))</f>
        <v/>
      </c>
      <c r="K35" s="7" t="str">
        <f aca="false">IF(03_CLEAN_DATA!E35="","MISSING",TRIM(IF(OR(03_CLEAN_DATA!E35&lt;$T$16,03_CLEAN_DATA!E35&gt;$U$16),"IQR ","")&amp;IF(ABS((03_CLEAN_DATA!E35-AVERAGE(03_CLEAN_DATA!$E$34:$E$49))/STDEV(03_CLEAN_DATA!$E$34:$E$49))&gt;$R$3," Z","")))</f>
        <v/>
      </c>
      <c r="L35" s="7" t="str">
        <f aca="false">IF(03_CLEAN_DATA!N35="","MISSING",TRIM(IF(OR(03_CLEAN_DATA!N35&lt;$T$17,03_CLEAN_DATA!N35&gt;$U$17),"IQR ","")&amp;IF(ABS((03_CLEAN_DATA!N35-AVERAGE(03_CLEAN_DATA!$N$34:$N$49))/STDEV(03_CLEAN_DATA!$N$34:$N$49))&gt;$R$3," Z","")))</f>
        <v/>
      </c>
      <c r="M35" s="7" t="str">
        <f aca="false">IF(03_CLEAN_DATA!O35="","MISSING",TRIM(IF(OR(03_CLEAN_DATA!O35&lt;$T$18,03_CLEAN_DATA!O35&gt;$U$18),"IQR ","")&amp;IF(ABS((03_CLEAN_DATA!O35-AVERAGE(03_CLEAN_DATA!$O$34:$O$49))/STDEV(03_CLEAN_DATA!$O$34:$O$49))&gt;$R$3," Z","")))</f>
        <v/>
      </c>
      <c r="N35" s="7" t="str">
        <f aca="false">IF(04_CALCULATIONS!E35="","MISSING",TRIM(IF(OR(04_CALCULATIONS!E35&lt;$T$19,04_CALCULATIONS!E35&gt;$U$19),"IQR ","")&amp;IF(ABS((04_CALCULATIONS!E35-AVERAGE(04_CALCULATIONS!$E$34:$E$49))/STDEV(04_CALCULATIONS!$E$34:$E$49))&gt;$R$3," Z","")))</f>
        <v/>
      </c>
      <c r="O35" s="7" t="str">
        <f aca="false">IF(03_CLEAN_DATA!L35="","MISSING",TRIM(IF(OR(03_CLEAN_DATA!L35&lt;$T$20,03_CLEAN_DATA!L35&gt;$U$20),"IQR ","")&amp;IF(ABS((03_CLEAN_DATA!L35-AVERAGE(03_CLEAN_DATA!$L$34:$L$49))/STDEV(03_CLEAN_DATA!$L$34:$L$49))&gt;$R$3," Z","")))</f>
        <v/>
      </c>
    </row>
    <row r="36" customFormat="false" ht="15" hidden="false" customHeight="false" outlineLevel="0" collapsed="false">
      <c r="A36" s="7" t="str">
        <f aca="false">03_CLEAN_DATA!A36</f>
        <v>Czechia</v>
      </c>
      <c r="B36" s="7" t="str">
        <f aca="false">03_CLEAN_DATA!B36</f>
        <v>CZE</v>
      </c>
      <c r="C36" s="7" t="n">
        <f aca="false">03_CLEAN_DATA!C36</f>
        <v>2012</v>
      </c>
      <c r="D36" s="11" t="n">
        <f aca="false">IF(C36=2010,IF(OR(03_CLEAN_DATA!H36="",INDEX($R$8:$R$11,MATCH(B36,$Q$8:$Q$11,0))=""),"",(03_CLEAN_DATA!H36/INDEX($R$8:$R$11,MATCH(B36,$Q$8:$Q$11,0))-1)*100),IF(OR(03_CLEAN_DATA!H36="",03_CLEAN_DATA!H35=""),"",(03_CLEAN_DATA!H36/03_CLEAN_DATA!H35-1)*100))</f>
        <v>4.28116143497319</v>
      </c>
      <c r="E36" s="11" t="n">
        <f aca="false">IF(OR(03_CLEAN_DATA!G36="",03_CLEAN_DATA!I36="",03_CLEAN_DATA!D36=""),"",(03_CLEAN_DATA!G36-03_CLEAN_DATA!I36)/03_CLEAN_DATA!D36*100)</f>
        <v>4.72942555651658</v>
      </c>
      <c r="F36" s="11" t="n">
        <f aca="false">IF(OR(03_CLEAN_DATA!G36="",03_CLEAN_DATA!I36="",03_CLEAN_DATA!D36=""),"",(03_CLEAN_DATA!G36+03_CLEAN_DATA!I36)/03_CLEAN_DATA!D36*100)</f>
        <v>145.480195396935</v>
      </c>
      <c r="G36" s="12" t="n">
        <f aca="false">IF(OR(F36="",03_CLEAN_DATA!L36=""),"",F36-03_CLEAN_DATA!L36)</f>
        <v>0</v>
      </c>
      <c r="H36" s="13" t="n">
        <f aca="false">IF(03_CLEAN_DATA!H36="","",03_CLEAN_DATA!H36/SUMIFS(03_CLEAN_DATA!$H$2:$H$65,03_CLEAN_DATA!$B$2:$B$65,B36,03_CLEAN_DATA!$C$2:$C$65,$R$4)*100)</f>
        <v>113.835941666946</v>
      </c>
      <c r="I36" s="7" t="str">
        <f aca="false">IF(C36&lt;=2019,"Pre-COVID (2010-2019)",IF(C36&lt;=2021,"COVID (2020-2021)","Post-COVID (2022-2025)"))</f>
        <v>Pre-COVID (2010-2019)</v>
      </c>
      <c r="J36" s="7" t="str">
        <f aca="false">IF(04_CALCULATIONS!D36="","MISSING",TRIM(IF(OR(04_CALCULATIONS!D36&lt;$T$15,04_CALCULATIONS!D36&gt;$U$15),"IQR ","")&amp;IF(ABS((04_CALCULATIONS!D36-AVERAGE(04_CALCULATIONS!$D$34:$D$49))/STDEV(04_CALCULATIONS!$D$34:$D$49))&gt;$R$3," Z","")&amp;IF($C36=2010," Rebound","")))</f>
        <v/>
      </c>
      <c r="K36" s="7" t="str">
        <f aca="false">IF(03_CLEAN_DATA!E36="","MISSING",TRIM(IF(OR(03_CLEAN_DATA!E36&lt;$T$16,03_CLEAN_DATA!E36&gt;$U$16),"IQR ","")&amp;IF(ABS((03_CLEAN_DATA!E36-AVERAGE(03_CLEAN_DATA!$E$34:$E$49))/STDEV(03_CLEAN_DATA!$E$34:$E$49))&gt;$R$3," Z","")))</f>
        <v/>
      </c>
      <c r="L36" s="7" t="str">
        <f aca="false">IF(03_CLEAN_DATA!N36="","MISSING",TRIM(IF(OR(03_CLEAN_DATA!N36&lt;$T$17,03_CLEAN_DATA!N36&gt;$U$17),"IQR ","")&amp;IF(ABS((03_CLEAN_DATA!N36-AVERAGE(03_CLEAN_DATA!$N$34:$N$49))/STDEV(03_CLEAN_DATA!$N$34:$N$49))&gt;$R$3," Z","")))</f>
        <v/>
      </c>
      <c r="M36" s="7" t="str">
        <f aca="false">IF(03_CLEAN_DATA!O36="","MISSING",TRIM(IF(OR(03_CLEAN_DATA!O36&lt;$T$18,03_CLEAN_DATA!O36&gt;$U$18),"IQR ","")&amp;IF(ABS((03_CLEAN_DATA!O36-AVERAGE(03_CLEAN_DATA!$O$34:$O$49))/STDEV(03_CLEAN_DATA!$O$34:$O$49))&gt;$R$3," Z","")))</f>
        <v/>
      </c>
      <c r="N36" s="7" t="str">
        <f aca="false">IF(04_CALCULATIONS!E36="","MISSING",TRIM(IF(OR(04_CALCULATIONS!E36&lt;$T$19,04_CALCULATIONS!E36&gt;$U$19),"IQR ","")&amp;IF(ABS((04_CALCULATIONS!E36-AVERAGE(04_CALCULATIONS!$E$34:$E$49))/STDEV(04_CALCULATIONS!$E$34:$E$49))&gt;$R$3," Z","")))</f>
        <v/>
      </c>
      <c r="O36" s="7" t="str">
        <f aca="false">IF(03_CLEAN_DATA!L36="","MISSING",TRIM(IF(OR(03_CLEAN_DATA!L36&lt;$T$20,03_CLEAN_DATA!L36&gt;$U$20),"IQR ","")&amp;IF(ABS((03_CLEAN_DATA!L36-AVERAGE(03_CLEAN_DATA!$L$34:$L$49))/STDEV(03_CLEAN_DATA!$L$34:$L$49))&gt;$R$3," Z","")))</f>
        <v/>
      </c>
    </row>
    <row r="37" customFormat="false" ht="15" hidden="false" customHeight="false" outlineLevel="0" collapsed="false">
      <c r="A37" s="7" t="str">
        <f aca="false">03_CLEAN_DATA!A37</f>
        <v>Czechia</v>
      </c>
      <c r="B37" s="7" t="str">
        <f aca="false">03_CLEAN_DATA!B37</f>
        <v>CZE</v>
      </c>
      <c r="C37" s="7" t="n">
        <f aca="false">03_CLEAN_DATA!C37</f>
        <v>2013</v>
      </c>
      <c r="D37" s="11" t="n">
        <f aca="false">IF(C37=2010,IF(OR(03_CLEAN_DATA!H37="",INDEX($R$8:$R$11,MATCH(B37,$Q$8:$Q$11,0))=""),"",(03_CLEAN_DATA!H37/INDEX($R$8:$R$11,MATCH(B37,$Q$8:$Q$11,0))-1)*100),IF(OR(03_CLEAN_DATA!H37="",03_CLEAN_DATA!H36=""),"",(03_CLEAN_DATA!H37/03_CLEAN_DATA!H36-1)*100))</f>
        <v>0.25860507770501</v>
      </c>
      <c r="E37" s="11" t="n">
        <f aca="false">IF(OR(03_CLEAN_DATA!G37="",03_CLEAN_DATA!I37="",03_CLEAN_DATA!D37=""),"",(03_CLEAN_DATA!G37-03_CLEAN_DATA!I37)/03_CLEAN_DATA!D37*100)</f>
        <v>5.65856026765082</v>
      </c>
      <c r="F37" s="11" t="n">
        <f aca="false">IF(OR(03_CLEAN_DATA!G37="",03_CLEAN_DATA!I37="",03_CLEAN_DATA!D37=""),"",(03_CLEAN_DATA!G37+03_CLEAN_DATA!I37)/03_CLEAN_DATA!D37*100)</f>
        <v>145.502230624961</v>
      </c>
      <c r="G37" s="12" t="n">
        <f aca="false">IF(OR(F37="",03_CLEAN_DATA!L37=""),"",F37-03_CLEAN_DATA!L37)</f>
        <v>0</v>
      </c>
      <c r="H37" s="13" t="n">
        <f aca="false">IF(03_CLEAN_DATA!H37="","",03_CLEAN_DATA!H37/SUMIFS(03_CLEAN_DATA!$H$2:$H$65,03_CLEAN_DATA!$B$2:$B$65,B37,03_CLEAN_DATA!$C$2:$C$65,$R$4)*100)</f>
        <v>114.13032719235</v>
      </c>
      <c r="I37" s="7" t="str">
        <f aca="false">IF(C37&lt;=2019,"Pre-COVID (2010-2019)",IF(C37&lt;=2021,"COVID (2020-2021)","Post-COVID (2022-2025)"))</f>
        <v>Pre-COVID (2010-2019)</v>
      </c>
      <c r="J37" s="7" t="str">
        <f aca="false">IF(04_CALCULATIONS!D37="","MISSING",TRIM(IF(OR(04_CALCULATIONS!D37&lt;$T$15,04_CALCULATIONS!D37&gt;$U$15),"IQR ","")&amp;IF(ABS((04_CALCULATIONS!D37-AVERAGE(04_CALCULATIONS!$D$34:$D$49))/STDEV(04_CALCULATIONS!$D$34:$D$49))&gt;$R$3," Z","")&amp;IF($C37=2010," Rebound","")))</f>
        <v/>
      </c>
      <c r="K37" s="7" t="str">
        <f aca="false">IF(03_CLEAN_DATA!E37="","MISSING",TRIM(IF(OR(03_CLEAN_DATA!E37&lt;$T$16,03_CLEAN_DATA!E37&gt;$U$16),"IQR ","")&amp;IF(ABS((03_CLEAN_DATA!E37-AVERAGE(03_CLEAN_DATA!$E$34:$E$49))/STDEV(03_CLEAN_DATA!$E$34:$E$49))&gt;$R$3," Z","")))</f>
        <v/>
      </c>
      <c r="L37" s="7" t="str">
        <f aca="false">IF(03_CLEAN_DATA!N37="","MISSING",TRIM(IF(OR(03_CLEAN_DATA!N37&lt;$T$17,03_CLEAN_DATA!N37&gt;$U$17),"IQR ","")&amp;IF(ABS((03_CLEAN_DATA!N37-AVERAGE(03_CLEAN_DATA!$N$34:$N$49))/STDEV(03_CLEAN_DATA!$N$34:$N$49))&gt;$R$3," Z","")))</f>
        <v/>
      </c>
      <c r="M37" s="7" t="str">
        <f aca="false">IF(03_CLEAN_DATA!O37="","MISSING",TRIM(IF(OR(03_CLEAN_DATA!O37&lt;$T$18,03_CLEAN_DATA!O37&gt;$U$18),"IQR ","")&amp;IF(ABS((03_CLEAN_DATA!O37-AVERAGE(03_CLEAN_DATA!$O$34:$O$49))/STDEV(03_CLEAN_DATA!$O$34:$O$49))&gt;$R$3," Z","")))</f>
        <v/>
      </c>
      <c r="N37" s="7" t="str">
        <f aca="false">IF(04_CALCULATIONS!E37="","MISSING",TRIM(IF(OR(04_CALCULATIONS!E37&lt;$T$19,04_CALCULATIONS!E37&gt;$U$19),"IQR ","")&amp;IF(ABS((04_CALCULATIONS!E37-AVERAGE(04_CALCULATIONS!$E$34:$E$49))/STDEV(04_CALCULATIONS!$E$34:$E$49))&gt;$R$3," Z","")))</f>
        <v/>
      </c>
      <c r="O37" s="7" t="str">
        <f aca="false">IF(03_CLEAN_DATA!L37="","MISSING",TRIM(IF(OR(03_CLEAN_DATA!L37&lt;$T$20,03_CLEAN_DATA!L37&gt;$U$20),"IQR ","")&amp;IF(ABS((03_CLEAN_DATA!L37-AVERAGE(03_CLEAN_DATA!$L$34:$L$49))/STDEV(03_CLEAN_DATA!$L$34:$L$49))&gt;$R$3," Z","")))</f>
        <v/>
      </c>
    </row>
    <row r="38" customFormat="false" ht="15" hidden="false" customHeight="false" outlineLevel="0" collapsed="false">
      <c r="A38" s="7" t="str">
        <f aca="false">03_CLEAN_DATA!A38</f>
        <v>Czechia</v>
      </c>
      <c r="B38" s="7" t="str">
        <f aca="false">03_CLEAN_DATA!B38</f>
        <v>CZE</v>
      </c>
      <c r="C38" s="7" t="n">
        <f aca="false">03_CLEAN_DATA!C38</f>
        <v>2014</v>
      </c>
      <c r="D38" s="11" t="n">
        <f aca="false">IF(C38=2010,IF(OR(03_CLEAN_DATA!H38="",INDEX($R$8:$R$11,MATCH(B38,$Q$8:$Q$11,0))=""),"",(03_CLEAN_DATA!H38/INDEX($R$8:$R$11,MATCH(B38,$Q$8:$Q$11,0))-1)*100),IF(OR(03_CLEAN_DATA!H38="",03_CLEAN_DATA!H37=""),"",(03_CLEAN_DATA!H38/03_CLEAN_DATA!H37-1)*100))</f>
        <v>8.72634203120317</v>
      </c>
      <c r="E38" s="11" t="n">
        <f aca="false">IF(OR(03_CLEAN_DATA!G38="",03_CLEAN_DATA!I38="",03_CLEAN_DATA!D38=""),"",(03_CLEAN_DATA!G38-03_CLEAN_DATA!I38)/03_CLEAN_DATA!D38*100)</f>
        <v>6.28694759765373</v>
      </c>
      <c r="F38" s="11" t="n">
        <f aca="false">IF(OR(03_CLEAN_DATA!G38="",03_CLEAN_DATA!I38="",03_CLEAN_DATA!D38=""),"",(03_CLEAN_DATA!G38+03_CLEAN_DATA!I38)/03_CLEAN_DATA!D38*100)</f>
        <v>156.415122826885</v>
      </c>
      <c r="G38" s="12" t="n">
        <f aca="false">IF(OR(F38="",03_CLEAN_DATA!L38=""),"",F38-03_CLEAN_DATA!L38)</f>
        <v>-7.38964445190504E-013</v>
      </c>
      <c r="H38" s="13" t="n">
        <f aca="false">IF(03_CLEAN_DATA!H38="","",03_CLEAN_DATA!H38/SUMIFS(03_CLEAN_DATA!$H$2:$H$65,03_CLEAN_DATA!$B$2:$B$65,B38,03_CLEAN_DATA!$C$2:$C$65,$R$4)*100)</f>
        <v>124.089729904485</v>
      </c>
      <c r="I38" s="7" t="str">
        <f aca="false">IF(C38&lt;=2019,"Pre-COVID (2010-2019)",IF(C38&lt;=2021,"COVID (2020-2021)","Post-COVID (2022-2025)"))</f>
        <v>Pre-COVID (2010-2019)</v>
      </c>
      <c r="J38" s="7" t="str">
        <f aca="false">IF(04_CALCULATIONS!D38="","MISSING",TRIM(IF(OR(04_CALCULATIONS!D38&lt;$T$15,04_CALCULATIONS!D38&gt;$U$15),"IQR ","")&amp;IF(ABS((04_CALCULATIONS!D38-AVERAGE(04_CALCULATIONS!$D$34:$D$49))/STDEV(04_CALCULATIONS!$D$34:$D$49))&gt;$R$3," Z","")&amp;IF($C38=2010," Rebound","")))</f>
        <v/>
      </c>
      <c r="K38" s="7" t="str">
        <f aca="false">IF(03_CLEAN_DATA!E38="","MISSING",TRIM(IF(OR(03_CLEAN_DATA!E38&lt;$T$16,03_CLEAN_DATA!E38&gt;$U$16),"IQR ","")&amp;IF(ABS((03_CLEAN_DATA!E38-AVERAGE(03_CLEAN_DATA!$E$34:$E$49))/STDEV(03_CLEAN_DATA!$E$34:$E$49))&gt;$R$3," Z","")))</f>
        <v/>
      </c>
      <c r="L38" s="7" t="str">
        <f aca="false">IF(03_CLEAN_DATA!N38="","MISSING",TRIM(IF(OR(03_CLEAN_DATA!N38&lt;$T$17,03_CLEAN_DATA!N38&gt;$U$17),"IQR ","")&amp;IF(ABS((03_CLEAN_DATA!N38-AVERAGE(03_CLEAN_DATA!$N$34:$N$49))/STDEV(03_CLEAN_DATA!$N$34:$N$49))&gt;$R$3," Z","")))</f>
        <v/>
      </c>
      <c r="M38" s="7" t="str">
        <f aca="false">IF(03_CLEAN_DATA!O38="","MISSING",TRIM(IF(OR(03_CLEAN_DATA!O38&lt;$T$18,03_CLEAN_DATA!O38&gt;$U$18),"IQR ","")&amp;IF(ABS((03_CLEAN_DATA!O38-AVERAGE(03_CLEAN_DATA!$O$34:$O$49))/STDEV(03_CLEAN_DATA!$O$34:$O$49))&gt;$R$3," Z","")))</f>
        <v/>
      </c>
      <c r="N38" s="7" t="str">
        <f aca="false">IF(04_CALCULATIONS!E38="","MISSING",TRIM(IF(OR(04_CALCULATIONS!E38&lt;$T$19,04_CALCULATIONS!E38&gt;$U$19),"IQR ","")&amp;IF(ABS((04_CALCULATIONS!E38-AVERAGE(04_CALCULATIONS!$E$34:$E$49))/STDEV(04_CALCULATIONS!$E$34:$E$49))&gt;$R$3," Z","")))</f>
        <v/>
      </c>
      <c r="O38" s="7" t="str">
        <f aca="false">IF(03_CLEAN_DATA!L38="","MISSING",TRIM(IF(OR(03_CLEAN_DATA!L38&lt;$T$20,03_CLEAN_DATA!L38&gt;$U$20),"IQR ","")&amp;IF(ABS((03_CLEAN_DATA!L38-AVERAGE(03_CLEAN_DATA!$L$34:$L$49))/STDEV(03_CLEAN_DATA!$L$34:$L$49))&gt;$R$3," Z","")))</f>
        <v/>
      </c>
    </row>
    <row r="39" customFormat="false" ht="15" hidden="false" customHeight="false" outlineLevel="0" collapsed="false">
      <c r="A39" s="7" t="str">
        <f aca="false">03_CLEAN_DATA!A39</f>
        <v>Czechia</v>
      </c>
      <c r="B39" s="7" t="str">
        <f aca="false">03_CLEAN_DATA!B39</f>
        <v>CZE</v>
      </c>
      <c r="C39" s="7" t="n">
        <f aca="false">03_CLEAN_DATA!C39</f>
        <v>2015</v>
      </c>
      <c r="D39" s="11" t="n">
        <f aca="false">IF(C39=2010,IF(OR(03_CLEAN_DATA!H39="",INDEX($R$8:$R$11,MATCH(B39,$Q$8:$Q$11,0))=""),"",(03_CLEAN_DATA!H39/INDEX($R$8:$R$11,MATCH(B39,$Q$8:$Q$11,0))-1)*100),IF(OR(03_CLEAN_DATA!H39="",03_CLEAN_DATA!H38=""),"",(03_CLEAN_DATA!H39/03_CLEAN_DATA!H38-1)*100))</f>
        <v>5.91173316859568</v>
      </c>
      <c r="E39" s="11" t="n">
        <f aca="false">IF(OR(03_CLEAN_DATA!G39="",03_CLEAN_DATA!I39="",03_CLEAN_DATA!D39=""),"",(03_CLEAN_DATA!G39-03_CLEAN_DATA!I39)/03_CLEAN_DATA!D39*100)</f>
        <v>6.00673328871997</v>
      </c>
      <c r="F39" s="11" t="n">
        <f aca="false">IF(OR(03_CLEAN_DATA!G39="",03_CLEAN_DATA!I39="",03_CLEAN_DATA!D39=""),"",(03_CLEAN_DATA!G39+03_CLEAN_DATA!I39)/03_CLEAN_DATA!D39*100)</f>
        <v>154.018400997633</v>
      </c>
      <c r="G39" s="12" t="n">
        <f aca="false">IF(OR(F39="",03_CLEAN_DATA!L39=""),"",F39-03_CLEAN_DATA!L39)</f>
        <v>0</v>
      </c>
      <c r="H39" s="13" t="n">
        <f aca="false">IF(03_CLEAN_DATA!H39="","",03_CLEAN_DATA!H39/SUMIFS(03_CLEAN_DATA!$H$2:$H$65,03_CLEAN_DATA!$B$2:$B$65,B39,03_CLEAN_DATA!$C$2:$C$65,$R$4)*100)</f>
        <v>131.42558362607</v>
      </c>
      <c r="I39" s="7" t="str">
        <f aca="false">IF(C39&lt;=2019,"Pre-COVID (2010-2019)",IF(C39&lt;=2021,"COVID (2020-2021)","Post-COVID (2022-2025)"))</f>
        <v>Pre-COVID (2010-2019)</v>
      </c>
      <c r="J39" s="7" t="str">
        <f aca="false">IF(04_CALCULATIONS!D39="","MISSING",TRIM(IF(OR(04_CALCULATIONS!D39&lt;$T$15,04_CALCULATIONS!D39&gt;$U$15),"IQR ","")&amp;IF(ABS((04_CALCULATIONS!D39-AVERAGE(04_CALCULATIONS!$D$34:$D$49))/STDEV(04_CALCULATIONS!$D$34:$D$49))&gt;$R$3," Z","")&amp;IF($C39=2010," Rebound","")))</f>
        <v/>
      </c>
      <c r="K39" s="7" t="str">
        <f aca="false">IF(03_CLEAN_DATA!E39="","MISSING",TRIM(IF(OR(03_CLEAN_DATA!E39&lt;$T$16,03_CLEAN_DATA!E39&gt;$U$16),"IQR ","")&amp;IF(ABS((03_CLEAN_DATA!E39-AVERAGE(03_CLEAN_DATA!$E$34:$E$49))/STDEV(03_CLEAN_DATA!$E$34:$E$49))&gt;$R$3," Z","")))</f>
        <v/>
      </c>
      <c r="L39" s="7" t="str">
        <f aca="false">IF(03_CLEAN_DATA!N39="","MISSING",TRIM(IF(OR(03_CLEAN_DATA!N39&lt;$T$17,03_CLEAN_DATA!N39&gt;$U$17),"IQR ","")&amp;IF(ABS((03_CLEAN_DATA!N39-AVERAGE(03_CLEAN_DATA!$N$34:$N$49))/STDEV(03_CLEAN_DATA!$N$34:$N$49))&gt;$R$3," Z","")))</f>
        <v/>
      </c>
      <c r="M39" s="7" t="str">
        <f aca="false">IF(03_CLEAN_DATA!O39="","MISSING",TRIM(IF(OR(03_CLEAN_DATA!O39&lt;$T$18,03_CLEAN_DATA!O39&gt;$U$18),"IQR ","")&amp;IF(ABS((03_CLEAN_DATA!O39-AVERAGE(03_CLEAN_DATA!$O$34:$O$49))/STDEV(03_CLEAN_DATA!$O$34:$O$49))&gt;$R$3," Z","")))</f>
        <v>IQR</v>
      </c>
      <c r="N39" s="7" t="str">
        <f aca="false">IF(04_CALCULATIONS!E39="","MISSING",TRIM(IF(OR(04_CALCULATIONS!E39&lt;$T$19,04_CALCULATIONS!E39&gt;$U$19),"IQR ","")&amp;IF(ABS((04_CALCULATIONS!E39-AVERAGE(04_CALCULATIONS!$E$34:$E$49))/STDEV(04_CALCULATIONS!$E$34:$E$49))&gt;$R$3," Z","")))</f>
        <v/>
      </c>
      <c r="O39" s="7" t="str">
        <f aca="false">IF(03_CLEAN_DATA!L39="","MISSING",TRIM(IF(OR(03_CLEAN_DATA!L39&lt;$T$20,03_CLEAN_DATA!L39&gt;$U$20),"IQR ","")&amp;IF(ABS((03_CLEAN_DATA!L39-AVERAGE(03_CLEAN_DATA!$L$34:$L$49))/STDEV(03_CLEAN_DATA!$L$34:$L$49))&gt;$R$3," Z","")))</f>
        <v/>
      </c>
    </row>
    <row r="40" customFormat="false" ht="15" hidden="false" customHeight="false" outlineLevel="0" collapsed="false">
      <c r="A40" s="7" t="str">
        <f aca="false">03_CLEAN_DATA!A40</f>
        <v>Czechia</v>
      </c>
      <c r="B40" s="7" t="str">
        <f aca="false">03_CLEAN_DATA!B40</f>
        <v>CZE</v>
      </c>
      <c r="C40" s="7" t="n">
        <f aca="false">03_CLEAN_DATA!C40</f>
        <v>2016</v>
      </c>
      <c r="D40" s="11" t="n">
        <f aca="false">IF(C40=2010,IF(OR(03_CLEAN_DATA!H40="",INDEX($R$8:$R$11,MATCH(B40,$Q$8:$Q$11,0))=""),"",(03_CLEAN_DATA!H40/INDEX($R$8:$R$11,MATCH(B40,$Q$8:$Q$11,0))-1)*100),IF(OR(03_CLEAN_DATA!H40="",03_CLEAN_DATA!H39=""),"",(03_CLEAN_DATA!H40/03_CLEAN_DATA!H39-1)*100))</f>
        <v>4.13744263673597</v>
      </c>
      <c r="E40" s="11" t="n">
        <f aca="false">IF(OR(03_CLEAN_DATA!G40="",03_CLEAN_DATA!I40="",03_CLEAN_DATA!D40=""),"",(03_CLEAN_DATA!G40-03_CLEAN_DATA!I40)/03_CLEAN_DATA!D40*100)</f>
        <v>7.66966134837032</v>
      </c>
      <c r="F40" s="11" t="n">
        <f aca="false">IF(OR(03_CLEAN_DATA!G40="",03_CLEAN_DATA!I40="",03_CLEAN_DATA!D40=""),"",(03_CLEAN_DATA!G40+03_CLEAN_DATA!I40)/03_CLEAN_DATA!D40*100)</f>
        <v>148.547004664435</v>
      </c>
      <c r="G40" s="12" t="n">
        <f aca="false">IF(OR(F40="",03_CLEAN_DATA!L40=""),"",F40-03_CLEAN_DATA!L40)</f>
        <v>0</v>
      </c>
      <c r="H40" s="13" t="n">
        <f aca="false">IF(03_CLEAN_DATA!H40="","",03_CLEAN_DATA!H40/SUMIFS(03_CLEAN_DATA!$H$2:$H$65,03_CLEAN_DATA!$B$2:$B$65,B40,03_CLEAN_DATA!$C$2:$C$65,$R$4)*100)</f>
        <v>136.863241758594</v>
      </c>
      <c r="I40" s="7" t="str">
        <f aca="false">IF(C40&lt;=2019,"Pre-COVID (2010-2019)",IF(C40&lt;=2021,"COVID (2020-2021)","Post-COVID (2022-2025)"))</f>
        <v>Pre-COVID (2010-2019)</v>
      </c>
      <c r="J40" s="7" t="str">
        <f aca="false">IF(04_CALCULATIONS!D40="","MISSING",TRIM(IF(OR(04_CALCULATIONS!D40&lt;$T$15,04_CALCULATIONS!D40&gt;$U$15),"IQR ","")&amp;IF(ABS((04_CALCULATIONS!D40-AVERAGE(04_CALCULATIONS!$D$34:$D$49))/STDEV(04_CALCULATIONS!$D$34:$D$49))&gt;$R$3," Z","")&amp;IF($C40=2010," Rebound","")))</f>
        <v/>
      </c>
      <c r="K40" s="7" t="str">
        <f aca="false">IF(03_CLEAN_DATA!E40="","MISSING",TRIM(IF(OR(03_CLEAN_DATA!E40&lt;$T$16,03_CLEAN_DATA!E40&gt;$U$16),"IQR ","")&amp;IF(ABS((03_CLEAN_DATA!E40-AVERAGE(03_CLEAN_DATA!$E$34:$E$49))/STDEV(03_CLEAN_DATA!$E$34:$E$49))&gt;$R$3," Z","")))</f>
        <v/>
      </c>
      <c r="L40" s="7" t="str">
        <f aca="false">IF(03_CLEAN_DATA!N40="","MISSING",TRIM(IF(OR(03_CLEAN_DATA!N40&lt;$T$17,03_CLEAN_DATA!N40&gt;$U$17),"IQR ","")&amp;IF(ABS((03_CLEAN_DATA!N40-AVERAGE(03_CLEAN_DATA!$N$34:$N$49))/STDEV(03_CLEAN_DATA!$N$34:$N$49))&gt;$R$3," Z","")))</f>
        <v/>
      </c>
      <c r="M40" s="7" t="str">
        <f aca="false">IF(03_CLEAN_DATA!O40="","MISSING",TRIM(IF(OR(03_CLEAN_DATA!O40&lt;$T$18,03_CLEAN_DATA!O40&gt;$U$18),"IQR ","")&amp;IF(ABS((03_CLEAN_DATA!O40-AVERAGE(03_CLEAN_DATA!$O$34:$O$49))/STDEV(03_CLEAN_DATA!$O$34:$O$49))&gt;$R$3," Z","")))</f>
        <v>IQR</v>
      </c>
      <c r="N40" s="7" t="str">
        <f aca="false">IF(04_CALCULATIONS!E40="","MISSING",TRIM(IF(OR(04_CALCULATIONS!E40&lt;$T$19,04_CALCULATIONS!E40&gt;$U$19),"IQR ","")&amp;IF(ABS((04_CALCULATIONS!E40-AVERAGE(04_CALCULATIONS!$E$34:$E$49))/STDEV(04_CALCULATIONS!$E$34:$E$49))&gt;$R$3," Z","")))</f>
        <v/>
      </c>
      <c r="O40" s="7" t="str">
        <f aca="false">IF(03_CLEAN_DATA!L40="","MISSING",TRIM(IF(OR(03_CLEAN_DATA!L40&lt;$T$20,03_CLEAN_DATA!L40&gt;$U$20),"IQR ","")&amp;IF(ABS((03_CLEAN_DATA!L40-AVERAGE(03_CLEAN_DATA!$L$34:$L$49))/STDEV(03_CLEAN_DATA!$L$34:$L$49))&gt;$R$3," Z","")))</f>
        <v/>
      </c>
    </row>
    <row r="41" customFormat="false" ht="15" hidden="false" customHeight="false" outlineLevel="0" collapsed="false">
      <c r="A41" s="7" t="str">
        <f aca="false">03_CLEAN_DATA!A41</f>
        <v>Czechia</v>
      </c>
      <c r="B41" s="7" t="str">
        <f aca="false">03_CLEAN_DATA!B41</f>
        <v>CZE</v>
      </c>
      <c r="C41" s="7" t="n">
        <f aca="false">03_CLEAN_DATA!C41</f>
        <v>2017</v>
      </c>
      <c r="D41" s="11" t="n">
        <f aca="false">IF(C41=2010,IF(OR(03_CLEAN_DATA!H41="",INDEX($R$8:$R$11,MATCH(B41,$Q$8:$Q$11,0))=""),"",(03_CLEAN_DATA!H41/INDEX($R$8:$R$11,MATCH(B41,$Q$8:$Q$11,0))-1)*100),IF(OR(03_CLEAN_DATA!H41="",03_CLEAN_DATA!H40=""),"",(03_CLEAN_DATA!H41/03_CLEAN_DATA!H40-1)*100))</f>
        <v>7.10275452803149</v>
      </c>
      <c r="E41" s="11" t="n">
        <f aca="false">IF(OR(03_CLEAN_DATA!G41="",03_CLEAN_DATA!I41="",03_CLEAN_DATA!D41=""),"",(03_CLEAN_DATA!G41-03_CLEAN_DATA!I41)/03_CLEAN_DATA!D41*100)</f>
        <v>7.61803039149372</v>
      </c>
      <c r="F41" s="11" t="n">
        <f aca="false">IF(OR(03_CLEAN_DATA!G41="",03_CLEAN_DATA!I41="",03_CLEAN_DATA!D41=""),"",(03_CLEAN_DATA!G41+03_CLEAN_DATA!I41)/03_CLEAN_DATA!D41*100)</f>
        <v>147.750834854761</v>
      </c>
      <c r="G41" s="12" t="n">
        <f aca="false">IF(OR(F41="",03_CLEAN_DATA!L41=""),"",F41-03_CLEAN_DATA!L41)</f>
        <v>-5.40012479177676E-013</v>
      </c>
      <c r="H41" s="13" t="n">
        <f aca="false">IF(03_CLEAN_DATA!H41="","",03_CLEAN_DATA!H41/SUMIFS(03_CLEAN_DATA!$H$2:$H$65,03_CLEAN_DATA!$B$2:$B$65,B41,03_CLEAN_DATA!$C$2:$C$65,$R$4)*100)</f>
        <v>146.584301859813</v>
      </c>
      <c r="I41" s="7" t="str">
        <f aca="false">IF(C41&lt;=2019,"Pre-COVID (2010-2019)",IF(C41&lt;=2021,"COVID (2020-2021)","Post-COVID (2022-2025)"))</f>
        <v>Pre-COVID (2010-2019)</v>
      </c>
      <c r="J41" s="7" t="str">
        <f aca="false">IF(04_CALCULATIONS!D41="","MISSING",TRIM(IF(OR(04_CALCULATIONS!D41&lt;$T$15,04_CALCULATIONS!D41&gt;$U$15),"IQR ","")&amp;IF(ABS((04_CALCULATIONS!D41-AVERAGE(04_CALCULATIONS!$D$34:$D$49))/STDEV(04_CALCULATIONS!$D$34:$D$49))&gt;$R$3," Z","")&amp;IF($C41=2010," Rebound","")))</f>
        <v/>
      </c>
      <c r="K41" s="7" t="str">
        <f aca="false">IF(03_CLEAN_DATA!E41="","MISSING",TRIM(IF(OR(03_CLEAN_DATA!E41&lt;$T$16,03_CLEAN_DATA!E41&gt;$U$16),"IQR ","")&amp;IF(ABS((03_CLEAN_DATA!E41-AVERAGE(03_CLEAN_DATA!$E$34:$E$49))/STDEV(03_CLEAN_DATA!$E$34:$E$49))&gt;$R$3," Z","")))</f>
        <v/>
      </c>
      <c r="L41" s="7" t="str">
        <f aca="false">IF(03_CLEAN_DATA!N41="","MISSING",TRIM(IF(OR(03_CLEAN_DATA!N41&lt;$T$17,03_CLEAN_DATA!N41&gt;$U$17),"IQR ","")&amp;IF(ABS((03_CLEAN_DATA!N41-AVERAGE(03_CLEAN_DATA!$N$34:$N$49))/STDEV(03_CLEAN_DATA!$N$34:$N$49))&gt;$R$3," Z","")))</f>
        <v/>
      </c>
      <c r="M41" s="7" t="str">
        <f aca="false">IF(03_CLEAN_DATA!O41="","MISSING",TRIM(IF(OR(03_CLEAN_DATA!O41&lt;$T$18,03_CLEAN_DATA!O41&gt;$U$18),"IQR ","")&amp;IF(ABS((03_CLEAN_DATA!O41-AVERAGE(03_CLEAN_DATA!$O$34:$O$49))/STDEV(03_CLEAN_DATA!$O$34:$O$49))&gt;$R$3," Z","")))</f>
        <v/>
      </c>
      <c r="N41" s="7" t="str">
        <f aca="false">IF(04_CALCULATIONS!E41="","MISSING",TRIM(IF(OR(04_CALCULATIONS!E41&lt;$T$19,04_CALCULATIONS!E41&gt;$U$19),"IQR ","")&amp;IF(ABS((04_CALCULATIONS!E41-AVERAGE(04_CALCULATIONS!$E$34:$E$49))/STDEV(04_CALCULATIONS!$E$34:$E$49))&gt;$R$3," Z","")))</f>
        <v/>
      </c>
      <c r="O41" s="7" t="str">
        <f aca="false">IF(03_CLEAN_DATA!L41="","MISSING",TRIM(IF(OR(03_CLEAN_DATA!L41&lt;$T$20,03_CLEAN_DATA!L41&gt;$U$20),"IQR ","")&amp;IF(ABS((03_CLEAN_DATA!L41-AVERAGE(03_CLEAN_DATA!$L$34:$L$49))/STDEV(03_CLEAN_DATA!$L$34:$L$49))&gt;$R$3," Z","")))</f>
        <v/>
      </c>
    </row>
    <row r="42" customFormat="false" ht="15" hidden="false" customHeight="false" outlineLevel="0" collapsed="false">
      <c r="A42" s="7" t="str">
        <f aca="false">03_CLEAN_DATA!A42</f>
        <v>Czechia</v>
      </c>
      <c r="B42" s="7" t="str">
        <f aca="false">03_CLEAN_DATA!B42</f>
        <v>CZE</v>
      </c>
      <c r="C42" s="7" t="n">
        <f aca="false">03_CLEAN_DATA!C42</f>
        <v>2018</v>
      </c>
      <c r="D42" s="11" t="n">
        <f aca="false">IF(C42=2010,IF(OR(03_CLEAN_DATA!H42="",INDEX($R$8:$R$11,MATCH(B42,$Q$8:$Q$11,0))=""),"",(03_CLEAN_DATA!H42/INDEX($R$8:$R$11,MATCH(B42,$Q$8:$Q$11,0))-1)*100),IF(OR(03_CLEAN_DATA!H42="",03_CLEAN_DATA!H41=""),"",(03_CLEAN_DATA!H42/03_CLEAN_DATA!H41-1)*100))</f>
        <v>3.50177596746721</v>
      </c>
      <c r="E42" s="11" t="n">
        <f aca="false">IF(OR(03_CLEAN_DATA!G42="",03_CLEAN_DATA!I42="",03_CLEAN_DATA!D42=""),"",(03_CLEAN_DATA!G42-03_CLEAN_DATA!I42)/03_CLEAN_DATA!D42*100)</f>
        <v>6.07784508232888</v>
      </c>
      <c r="F42" s="11" t="n">
        <f aca="false">IF(OR(03_CLEAN_DATA!G42="",03_CLEAN_DATA!I42="",03_CLEAN_DATA!D42=""),"",(03_CLEAN_DATA!G42+03_CLEAN_DATA!I42)/03_CLEAN_DATA!D42*100)</f>
        <v>145.141717890789</v>
      </c>
      <c r="G42" s="12" t="n">
        <f aca="false">IF(OR(F42="",03_CLEAN_DATA!L42=""),"",F42-03_CLEAN_DATA!L42)</f>
        <v>0</v>
      </c>
      <c r="H42" s="13" t="n">
        <f aca="false">IF(03_CLEAN_DATA!H42="","",03_CLEAN_DATA!H42/SUMIFS(03_CLEAN_DATA!$H$2:$H$65,03_CLEAN_DATA!$B$2:$B$65,B42,03_CLEAN_DATA!$C$2:$C$65,$R$4)*100)</f>
        <v>151.717355714419</v>
      </c>
      <c r="I42" s="7" t="str">
        <f aca="false">IF(C42&lt;=2019,"Pre-COVID (2010-2019)",IF(C42&lt;=2021,"COVID (2020-2021)","Post-COVID (2022-2025)"))</f>
        <v>Pre-COVID (2010-2019)</v>
      </c>
      <c r="J42" s="7" t="str">
        <f aca="false">IF(04_CALCULATIONS!D42="","MISSING",TRIM(IF(OR(04_CALCULATIONS!D42&lt;$T$15,04_CALCULATIONS!D42&gt;$U$15),"IQR ","")&amp;IF(ABS((04_CALCULATIONS!D42-AVERAGE(04_CALCULATIONS!$D$34:$D$49))/STDEV(04_CALCULATIONS!$D$34:$D$49))&gt;$R$3," Z","")&amp;IF($C42=2010," Rebound","")))</f>
        <v/>
      </c>
      <c r="K42" s="7" t="str">
        <f aca="false">IF(03_CLEAN_DATA!E42="","MISSING",TRIM(IF(OR(03_CLEAN_DATA!E42&lt;$T$16,03_CLEAN_DATA!E42&gt;$U$16),"IQR ","")&amp;IF(ABS((03_CLEAN_DATA!E42-AVERAGE(03_CLEAN_DATA!$E$34:$E$49))/STDEV(03_CLEAN_DATA!$E$34:$E$49))&gt;$R$3," Z","")))</f>
        <v/>
      </c>
      <c r="L42" s="7" t="str">
        <f aca="false">IF(03_CLEAN_DATA!N42="","MISSING",TRIM(IF(OR(03_CLEAN_DATA!N42&lt;$T$17,03_CLEAN_DATA!N42&gt;$U$17),"IQR ","")&amp;IF(ABS((03_CLEAN_DATA!N42-AVERAGE(03_CLEAN_DATA!$N$34:$N$49))/STDEV(03_CLEAN_DATA!$N$34:$N$49))&gt;$R$3," Z","")))</f>
        <v/>
      </c>
      <c r="M42" s="7" t="str">
        <f aca="false">IF(03_CLEAN_DATA!O42="","MISSING",TRIM(IF(OR(03_CLEAN_DATA!O42&lt;$T$18,03_CLEAN_DATA!O42&gt;$U$18),"IQR ","")&amp;IF(ABS((03_CLEAN_DATA!O42-AVERAGE(03_CLEAN_DATA!$O$34:$O$49))/STDEV(03_CLEAN_DATA!$O$34:$O$49))&gt;$R$3," Z","")))</f>
        <v/>
      </c>
      <c r="N42" s="7" t="str">
        <f aca="false">IF(04_CALCULATIONS!E42="","MISSING",TRIM(IF(OR(04_CALCULATIONS!E42&lt;$T$19,04_CALCULATIONS!E42&gt;$U$19),"IQR ","")&amp;IF(ABS((04_CALCULATIONS!E42-AVERAGE(04_CALCULATIONS!$E$34:$E$49))/STDEV(04_CALCULATIONS!$E$34:$E$49))&gt;$R$3," Z","")))</f>
        <v/>
      </c>
      <c r="O42" s="7" t="str">
        <f aca="false">IF(03_CLEAN_DATA!L42="","MISSING",TRIM(IF(OR(03_CLEAN_DATA!L42&lt;$T$20,03_CLEAN_DATA!L42&gt;$U$20),"IQR ","")&amp;IF(ABS((03_CLEAN_DATA!L42-AVERAGE(03_CLEAN_DATA!$L$34:$L$49))/STDEV(03_CLEAN_DATA!$L$34:$L$49))&gt;$R$3," Z","")))</f>
        <v/>
      </c>
    </row>
    <row r="43" customFormat="false" ht="15" hidden="false" customHeight="false" outlineLevel="0" collapsed="false">
      <c r="A43" s="7" t="str">
        <f aca="false">03_CLEAN_DATA!A43</f>
        <v>Czechia</v>
      </c>
      <c r="B43" s="7" t="str">
        <f aca="false">03_CLEAN_DATA!B43</f>
        <v>CZE</v>
      </c>
      <c r="C43" s="7" t="n">
        <f aca="false">03_CLEAN_DATA!C43</f>
        <v>2019</v>
      </c>
      <c r="D43" s="11" t="n">
        <f aca="false">IF(C43=2010,IF(OR(03_CLEAN_DATA!H43="",INDEX($R$8:$R$11,MATCH(B43,$Q$8:$Q$11,0))=""),"",(03_CLEAN_DATA!H43/INDEX($R$8:$R$11,MATCH(B43,$Q$8:$Q$11,0))-1)*100),IF(OR(03_CLEAN_DATA!H43="",03_CLEAN_DATA!H42=""),"",(03_CLEAN_DATA!H43/03_CLEAN_DATA!H42-1)*100))</f>
        <v>1.31157012923468</v>
      </c>
      <c r="E43" s="11" t="n">
        <f aca="false">IF(OR(03_CLEAN_DATA!G43="",03_CLEAN_DATA!I43="",03_CLEAN_DATA!D43=""),"",(03_CLEAN_DATA!G43-03_CLEAN_DATA!I43)/03_CLEAN_DATA!D43*100)</f>
        <v>6.09509228342468</v>
      </c>
      <c r="F43" s="11" t="n">
        <f aca="false">IF(OR(03_CLEAN_DATA!G43="",03_CLEAN_DATA!I43="",03_CLEAN_DATA!D43=""),"",(03_CLEAN_DATA!G43+03_CLEAN_DATA!I43)/03_CLEAN_DATA!D43*100)</f>
        <v>138.154609993871</v>
      </c>
      <c r="G43" s="12" t="n">
        <f aca="false">IF(OR(F43="",03_CLEAN_DATA!L43=""),"",F43-03_CLEAN_DATA!L43)</f>
        <v>0</v>
      </c>
      <c r="H43" s="13" t="n">
        <f aca="false">IF(03_CLEAN_DATA!H43="","",03_CLEAN_DATA!H43/SUMIFS(03_CLEAN_DATA!$H$2:$H$65,03_CLEAN_DATA!$B$2:$B$65,B43,03_CLEAN_DATA!$C$2:$C$65,$R$4)*100)</f>
        <v>153.707235232834</v>
      </c>
      <c r="I43" s="7" t="str">
        <f aca="false">IF(C43&lt;=2019,"Pre-COVID (2010-2019)",IF(C43&lt;=2021,"COVID (2020-2021)","Post-COVID (2022-2025)"))</f>
        <v>Pre-COVID (2010-2019)</v>
      </c>
      <c r="J43" s="7" t="str">
        <f aca="false">IF(04_CALCULATIONS!D43="","MISSING",TRIM(IF(OR(04_CALCULATIONS!D43&lt;$T$15,04_CALCULATIONS!D43&gt;$U$15),"IQR ","")&amp;IF(ABS((04_CALCULATIONS!D43-AVERAGE(04_CALCULATIONS!$D$34:$D$49))/STDEV(04_CALCULATIONS!$D$34:$D$49))&gt;$R$3," Z","")&amp;IF($C43=2010," Rebound","")))</f>
        <v/>
      </c>
      <c r="K43" s="7" t="str">
        <f aca="false">IF(03_CLEAN_DATA!E43="","MISSING",TRIM(IF(OR(03_CLEAN_DATA!E43&lt;$T$16,03_CLEAN_DATA!E43&gt;$U$16),"IQR ","")&amp;IF(ABS((03_CLEAN_DATA!E43-AVERAGE(03_CLEAN_DATA!$E$34:$E$49))/STDEV(03_CLEAN_DATA!$E$34:$E$49))&gt;$R$3," Z","")))</f>
        <v/>
      </c>
      <c r="L43" s="7" t="str">
        <f aca="false">IF(03_CLEAN_DATA!N43="","MISSING",TRIM(IF(OR(03_CLEAN_DATA!N43&lt;$T$17,03_CLEAN_DATA!N43&gt;$U$17),"IQR ","")&amp;IF(ABS((03_CLEAN_DATA!N43-AVERAGE(03_CLEAN_DATA!$N$34:$N$49))/STDEV(03_CLEAN_DATA!$N$34:$N$49))&gt;$R$3," Z","")))</f>
        <v/>
      </c>
      <c r="M43" s="7" t="str">
        <f aca="false">IF(03_CLEAN_DATA!O43="","MISSING",TRIM(IF(OR(03_CLEAN_DATA!O43&lt;$T$18,03_CLEAN_DATA!O43&gt;$U$18),"IQR ","")&amp;IF(ABS((03_CLEAN_DATA!O43-AVERAGE(03_CLEAN_DATA!$O$34:$O$49))/STDEV(03_CLEAN_DATA!$O$34:$O$49))&gt;$R$3," Z","")))</f>
        <v/>
      </c>
      <c r="N43" s="7" t="str">
        <f aca="false">IF(04_CALCULATIONS!E43="","MISSING",TRIM(IF(OR(04_CALCULATIONS!E43&lt;$T$19,04_CALCULATIONS!E43&gt;$U$19),"IQR ","")&amp;IF(ABS((04_CALCULATIONS!E43-AVERAGE(04_CALCULATIONS!$E$34:$E$49))/STDEV(04_CALCULATIONS!$E$34:$E$49))&gt;$R$3," Z","")))</f>
        <v/>
      </c>
      <c r="O43" s="7" t="str">
        <f aca="false">IF(03_CLEAN_DATA!L43="","MISSING",TRIM(IF(OR(03_CLEAN_DATA!L43&lt;$T$20,03_CLEAN_DATA!L43&gt;$U$20),"IQR ","")&amp;IF(ABS((03_CLEAN_DATA!L43-AVERAGE(03_CLEAN_DATA!$L$34:$L$49))/STDEV(03_CLEAN_DATA!$L$34:$L$49))&gt;$R$3," Z","")))</f>
        <v/>
      </c>
    </row>
    <row r="44" customFormat="false" ht="15" hidden="false" customHeight="false" outlineLevel="0" collapsed="false">
      <c r="A44" s="7" t="str">
        <f aca="false">03_CLEAN_DATA!A44</f>
        <v>Czechia</v>
      </c>
      <c r="B44" s="7" t="str">
        <f aca="false">03_CLEAN_DATA!B44</f>
        <v>CZE</v>
      </c>
      <c r="C44" s="7" t="n">
        <f aca="false">03_CLEAN_DATA!C44</f>
        <v>2020</v>
      </c>
      <c r="D44" s="11" t="n">
        <f aca="false">IF(C44=2010,IF(OR(03_CLEAN_DATA!H44="",INDEX($R$8:$R$11,MATCH(B44,$Q$8:$Q$11,0))=""),"",(03_CLEAN_DATA!H44/INDEX($R$8:$R$11,MATCH(B44,$Q$8:$Q$11,0))-1)*100),IF(OR(03_CLEAN_DATA!H44="",03_CLEAN_DATA!H43=""),"",(03_CLEAN_DATA!H44/03_CLEAN_DATA!H43-1)*100))</f>
        <v>-8.51612580418187</v>
      </c>
      <c r="E44" s="11" t="n">
        <f aca="false">IF(OR(03_CLEAN_DATA!G44="",03_CLEAN_DATA!I44="",03_CLEAN_DATA!D44=""),"",(03_CLEAN_DATA!G44-03_CLEAN_DATA!I44)/03_CLEAN_DATA!D44*100)</f>
        <v>6.74151616298192</v>
      </c>
      <c r="F44" s="11" t="n">
        <f aca="false">IF(OR(03_CLEAN_DATA!G44="",03_CLEAN_DATA!I44="",03_CLEAN_DATA!D44=""),"",(03_CLEAN_DATA!G44+03_CLEAN_DATA!I44)/03_CLEAN_DATA!D44*100)</f>
        <v>128.780430305965</v>
      </c>
      <c r="G44" s="12" t="n">
        <f aca="false">IF(OR(F44="",03_CLEAN_DATA!L44=""),"",F44-03_CLEAN_DATA!L44)</f>
        <v>-4.83169060316868E-013</v>
      </c>
      <c r="H44" s="13" t="n">
        <f aca="false">IF(03_CLEAN_DATA!H44="","",03_CLEAN_DATA!H44/SUMIFS(03_CLEAN_DATA!$H$2:$H$65,03_CLEAN_DATA!$B$2:$B$65,B44,03_CLEAN_DATA!$C$2:$C$65,$R$4)*100)</f>
        <v>140.617333710276</v>
      </c>
      <c r="I44" s="7" t="str">
        <f aca="false">IF(C44&lt;=2019,"Pre-COVID (2010-2019)",IF(C44&lt;=2021,"COVID (2020-2021)","Post-COVID (2022-2025)"))</f>
        <v>COVID (2020-2021)</v>
      </c>
      <c r="J44" s="7" t="str">
        <f aca="false">IF(04_CALCULATIONS!D44="","MISSING",TRIM(IF(OR(04_CALCULATIONS!D44&lt;$T$15,04_CALCULATIONS!D44&gt;$U$15),"IQR ","")&amp;IF(ABS((04_CALCULATIONS!D44-AVERAGE(04_CALCULATIONS!$D$34:$D$49))/STDEV(04_CALCULATIONS!$D$34:$D$49))&gt;$R$3," Z","")&amp;IF($C44=2010," Rebound","")))</f>
        <v>IQR Z</v>
      </c>
      <c r="K44" s="7" t="str">
        <f aca="false">IF(03_CLEAN_DATA!E44="","MISSING",TRIM(IF(OR(03_CLEAN_DATA!E44&lt;$T$16,03_CLEAN_DATA!E44&gt;$U$16),"IQR ","")&amp;IF(ABS((03_CLEAN_DATA!E44-AVERAGE(03_CLEAN_DATA!$E$34:$E$49))/STDEV(03_CLEAN_DATA!$E$34:$E$49))&gt;$R$3," Z","")))</f>
        <v>IQR Z</v>
      </c>
      <c r="L44" s="7" t="str">
        <f aca="false">IF(03_CLEAN_DATA!N44="","MISSING",TRIM(IF(OR(03_CLEAN_DATA!N44&lt;$T$17,03_CLEAN_DATA!N44&gt;$U$17),"IQR ","")&amp;IF(ABS((03_CLEAN_DATA!N44-AVERAGE(03_CLEAN_DATA!$N$34:$N$49))/STDEV(03_CLEAN_DATA!$N$34:$N$49))&gt;$R$3," Z","")))</f>
        <v/>
      </c>
      <c r="M44" s="7" t="str">
        <f aca="false">IF(03_CLEAN_DATA!O44="","MISSING",TRIM(IF(OR(03_CLEAN_DATA!O44&lt;$T$18,03_CLEAN_DATA!O44&gt;$U$18),"IQR ","")&amp;IF(ABS((03_CLEAN_DATA!O44-AVERAGE(03_CLEAN_DATA!$O$34:$O$49))/STDEV(03_CLEAN_DATA!$O$34:$O$49))&gt;$R$3," Z","")))</f>
        <v/>
      </c>
      <c r="N44" s="7" t="str">
        <f aca="false">IF(04_CALCULATIONS!E44="","MISSING",TRIM(IF(OR(04_CALCULATIONS!E44&lt;$T$19,04_CALCULATIONS!E44&gt;$U$19),"IQR ","")&amp;IF(ABS((04_CALCULATIONS!E44-AVERAGE(04_CALCULATIONS!$E$34:$E$49))/STDEV(04_CALCULATIONS!$E$34:$E$49))&gt;$R$3," Z","")))</f>
        <v/>
      </c>
      <c r="O44" s="7" t="str">
        <f aca="false">IF(03_CLEAN_DATA!L44="","MISSING",TRIM(IF(OR(03_CLEAN_DATA!L44&lt;$T$20,03_CLEAN_DATA!L44&gt;$U$20),"IQR ","")&amp;IF(ABS((03_CLEAN_DATA!L44-AVERAGE(03_CLEAN_DATA!$L$34:$L$49))/STDEV(03_CLEAN_DATA!$L$34:$L$49))&gt;$R$3," Z","")))</f>
        <v/>
      </c>
    </row>
    <row r="45" customFormat="false" ht="15" hidden="false" customHeight="false" outlineLevel="0" collapsed="false">
      <c r="A45" s="7" t="str">
        <f aca="false">03_CLEAN_DATA!A45</f>
        <v>Czechia</v>
      </c>
      <c r="B45" s="7" t="str">
        <f aca="false">03_CLEAN_DATA!B45</f>
        <v>CZE</v>
      </c>
      <c r="C45" s="7" t="n">
        <f aca="false">03_CLEAN_DATA!C45</f>
        <v>2021</v>
      </c>
      <c r="D45" s="11" t="n">
        <f aca="false">IF(C45=2010,IF(OR(03_CLEAN_DATA!H45="",INDEX($R$8:$R$11,MATCH(B45,$Q$8:$Q$11,0))=""),"",(03_CLEAN_DATA!H45/INDEX($R$8:$R$11,MATCH(B45,$Q$8:$Q$11,0))-1)*100),IF(OR(03_CLEAN_DATA!H45="",03_CLEAN_DATA!H44=""),"",(03_CLEAN_DATA!H45/03_CLEAN_DATA!H44-1)*100))</f>
        <v>8.15308945199458</v>
      </c>
      <c r="E45" s="11" t="n">
        <f aca="false">IF(OR(03_CLEAN_DATA!G45="",03_CLEAN_DATA!I45="",03_CLEAN_DATA!D45=""),"",(03_CLEAN_DATA!G45-03_CLEAN_DATA!I45)/03_CLEAN_DATA!D45*100)</f>
        <v>3.72197398281938</v>
      </c>
      <c r="F45" s="11" t="n">
        <f aca="false">IF(OR(03_CLEAN_DATA!G45="",03_CLEAN_DATA!I45="",03_CLEAN_DATA!D45=""),"",(03_CLEAN_DATA!G45+03_CLEAN_DATA!I45)/03_CLEAN_DATA!D45*100)</f>
        <v>137.378116302868</v>
      </c>
      <c r="G45" s="12" t="n">
        <f aca="false">IF(OR(F45="",03_CLEAN_DATA!L45=""),"",F45-03_CLEAN_DATA!L45)</f>
        <v>0</v>
      </c>
      <c r="H45" s="13" t="n">
        <f aca="false">IF(03_CLEAN_DATA!H45="","",03_CLEAN_DATA!H45/SUMIFS(03_CLEAN_DATA!$H$2:$H$65,03_CLEAN_DATA!$B$2:$B$65,B45,03_CLEAN_DATA!$C$2:$C$65,$R$4)*100)</f>
        <v>152.081990712685</v>
      </c>
      <c r="I45" s="7" t="str">
        <f aca="false">IF(C45&lt;=2019,"Pre-COVID (2010-2019)",IF(C45&lt;=2021,"COVID (2020-2021)","Post-COVID (2022-2025)"))</f>
        <v>COVID (2020-2021)</v>
      </c>
      <c r="J45" s="7" t="str">
        <f aca="false">IF(04_CALCULATIONS!D45="","MISSING",TRIM(IF(OR(04_CALCULATIONS!D45&lt;$T$15,04_CALCULATIONS!D45&gt;$U$15),"IQR ","")&amp;IF(ABS((04_CALCULATIONS!D45-AVERAGE(04_CALCULATIONS!$D$34:$D$49))/STDEV(04_CALCULATIONS!$D$34:$D$49))&gt;$R$3," Z","")&amp;IF($C45=2010," Rebound","")))</f>
        <v/>
      </c>
      <c r="K45" s="7" t="str">
        <f aca="false">IF(03_CLEAN_DATA!E45="","MISSING",TRIM(IF(OR(03_CLEAN_DATA!E45&lt;$T$16,03_CLEAN_DATA!E45&gt;$U$16),"IQR ","")&amp;IF(ABS((03_CLEAN_DATA!E45-AVERAGE(03_CLEAN_DATA!$E$34:$E$49))/STDEV(03_CLEAN_DATA!$E$34:$E$49))&gt;$R$3," Z","")))</f>
        <v/>
      </c>
      <c r="L45" s="7" t="str">
        <f aca="false">IF(03_CLEAN_DATA!N45="","MISSING",TRIM(IF(OR(03_CLEAN_DATA!N45&lt;$T$17,03_CLEAN_DATA!N45&gt;$U$17),"IQR ","")&amp;IF(ABS((03_CLEAN_DATA!N45-AVERAGE(03_CLEAN_DATA!$N$34:$N$49))/STDEV(03_CLEAN_DATA!$N$34:$N$49))&gt;$R$3," Z","")))</f>
        <v/>
      </c>
      <c r="M45" s="7" t="str">
        <f aca="false">IF(03_CLEAN_DATA!O45="","MISSING",TRIM(IF(OR(03_CLEAN_DATA!O45&lt;$T$18,03_CLEAN_DATA!O45&gt;$U$18),"IQR ","")&amp;IF(ABS((03_CLEAN_DATA!O45-AVERAGE(03_CLEAN_DATA!$O$34:$O$49))/STDEV(03_CLEAN_DATA!$O$34:$O$49))&gt;$R$3," Z","")))</f>
        <v/>
      </c>
      <c r="N45" s="7" t="str">
        <f aca="false">IF(04_CALCULATIONS!E45="","MISSING",TRIM(IF(OR(04_CALCULATIONS!E45&lt;$T$19,04_CALCULATIONS!E45&gt;$U$19),"IQR ","")&amp;IF(ABS((04_CALCULATIONS!E45-AVERAGE(04_CALCULATIONS!$E$34:$E$49))/STDEV(04_CALCULATIONS!$E$34:$E$49))&gt;$R$3," Z","")))</f>
        <v/>
      </c>
      <c r="O45" s="7" t="str">
        <f aca="false">IF(03_CLEAN_DATA!L45="","MISSING",TRIM(IF(OR(03_CLEAN_DATA!L45&lt;$T$20,03_CLEAN_DATA!L45&gt;$U$20),"IQR ","")&amp;IF(ABS((03_CLEAN_DATA!L45-AVERAGE(03_CLEAN_DATA!$L$34:$L$49))/STDEV(03_CLEAN_DATA!$L$34:$L$49))&gt;$R$3," Z","")))</f>
        <v/>
      </c>
    </row>
    <row r="46" customFormat="false" ht="15" hidden="false" customHeight="false" outlineLevel="0" collapsed="false">
      <c r="A46" s="7" t="str">
        <f aca="false">03_CLEAN_DATA!A46</f>
        <v>Czechia</v>
      </c>
      <c r="B46" s="7" t="str">
        <f aca="false">03_CLEAN_DATA!B46</f>
        <v>CZE</v>
      </c>
      <c r="C46" s="7" t="n">
        <f aca="false">03_CLEAN_DATA!C46</f>
        <v>2022</v>
      </c>
      <c r="D46" s="11" t="n">
        <f aca="false">IF(C46=2010,IF(OR(03_CLEAN_DATA!H46="",INDEX($R$8:$R$11,MATCH(B46,$Q$8:$Q$11,0))=""),"",(03_CLEAN_DATA!H46/INDEX($R$8:$R$11,MATCH(B46,$Q$8:$Q$11,0))-1)*100),IF(OR(03_CLEAN_DATA!H46="",03_CLEAN_DATA!H45=""),"",(03_CLEAN_DATA!H46/03_CLEAN_DATA!H45-1)*100))</f>
        <v>5.14899737013217</v>
      </c>
      <c r="E46" s="11" t="n">
        <f aca="false">IF(OR(03_CLEAN_DATA!G46="",03_CLEAN_DATA!I46="",03_CLEAN_DATA!D46=""),"",(03_CLEAN_DATA!G46-03_CLEAN_DATA!I46)/03_CLEAN_DATA!D46*100)</f>
        <v>0.807362176221077</v>
      </c>
      <c r="F46" s="11" t="n">
        <f aca="false">IF(OR(03_CLEAN_DATA!G46="",03_CLEAN_DATA!I46="",03_CLEAN_DATA!D46=""),"",(03_CLEAN_DATA!G46+03_CLEAN_DATA!I46)/03_CLEAN_DATA!D46*100)</f>
        <v>144.011494109396</v>
      </c>
      <c r="G46" s="12" t="n">
        <f aca="false">IF(OR(F46="",03_CLEAN_DATA!L46=""),"",F46-03_CLEAN_DATA!L46)</f>
        <v>-9.09494701772928E-013</v>
      </c>
      <c r="H46" s="13" t="n">
        <f aca="false">IF(03_CLEAN_DATA!H46="","",03_CLEAN_DATA!H46/SUMIFS(03_CLEAN_DATA!$H$2:$H$65,03_CLEAN_DATA!$B$2:$B$65,B46,03_CLEAN_DATA!$C$2:$C$65,$R$4)*100)</f>
        <v>159.912688414926</v>
      </c>
      <c r="I46" s="7" t="str">
        <f aca="false">IF(C46&lt;=2019,"Pre-COVID (2010-2019)",IF(C46&lt;=2021,"COVID (2020-2021)","Post-COVID (2022-2025)"))</f>
        <v>Post-COVID (2022-2025)</v>
      </c>
      <c r="J46" s="7" t="str">
        <f aca="false">IF(04_CALCULATIONS!D46="","MISSING",TRIM(IF(OR(04_CALCULATIONS!D46&lt;$T$15,04_CALCULATIONS!D46&gt;$U$15),"IQR ","")&amp;IF(ABS((04_CALCULATIONS!D46-AVERAGE(04_CALCULATIONS!$D$34:$D$49))/STDEV(04_CALCULATIONS!$D$34:$D$49))&gt;$R$3," Z","")&amp;IF($C46=2010," Rebound","")))</f>
        <v/>
      </c>
      <c r="K46" s="7" t="str">
        <f aca="false">IF(03_CLEAN_DATA!E46="","MISSING",TRIM(IF(OR(03_CLEAN_DATA!E46&lt;$T$16,03_CLEAN_DATA!E46&gt;$U$16),"IQR ","")&amp;IF(ABS((03_CLEAN_DATA!E46-AVERAGE(03_CLEAN_DATA!$E$34:$E$49))/STDEV(03_CLEAN_DATA!$E$34:$E$49))&gt;$R$3," Z","")))</f>
        <v/>
      </c>
      <c r="L46" s="7" t="str">
        <f aca="false">IF(03_CLEAN_DATA!N46="","MISSING",TRIM(IF(OR(03_CLEAN_DATA!N46&lt;$T$17,03_CLEAN_DATA!N46&gt;$U$17),"IQR ","")&amp;IF(ABS((03_CLEAN_DATA!N46-AVERAGE(03_CLEAN_DATA!$N$34:$N$49))/STDEV(03_CLEAN_DATA!$N$34:$N$49))&gt;$R$3," Z","")))</f>
        <v/>
      </c>
      <c r="M46" s="7" t="str">
        <f aca="false">IF(03_CLEAN_DATA!O46="","MISSING",TRIM(IF(OR(03_CLEAN_DATA!O46&lt;$T$18,03_CLEAN_DATA!O46&gt;$U$18),"IQR ","")&amp;IF(ABS((03_CLEAN_DATA!O46-AVERAGE(03_CLEAN_DATA!$O$34:$O$49))/STDEV(03_CLEAN_DATA!$O$34:$O$49))&gt;$R$3," Z","")))</f>
        <v/>
      </c>
      <c r="N46" s="7" t="str">
        <f aca="false">IF(04_CALCULATIONS!E46="","MISSING",TRIM(IF(OR(04_CALCULATIONS!E46&lt;$T$19,04_CALCULATIONS!E46&gt;$U$19),"IQR ","")&amp;IF(ABS((04_CALCULATIONS!E46-AVERAGE(04_CALCULATIONS!$E$34:$E$49))/STDEV(04_CALCULATIONS!$E$34:$E$49))&gt;$R$3," Z","")))</f>
        <v>Z</v>
      </c>
      <c r="O46" s="7" t="str">
        <f aca="false">IF(03_CLEAN_DATA!L46="","MISSING",TRIM(IF(OR(03_CLEAN_DATA!L46&lt;$T$20,03_CLEAN_DATA!L46&gt;$U$20),"IQR ","")&amp;IF(ABS((03_CLEAN_DATA!L46-AVERAGE(03_CLEAN_DATA!$L$34:$L$49))/STDEV(03_CLEAN_DATA!$L$34:$L$49))&gt;$R$3," Z","")))</f>
        <v/>
      </c>
    </row>
    <row r="47" customFormat="false" ht="15" hidden="false" customHeight="false" outlineLevel="0" collapsed="false">
      <c r="A47" s="7" t="str">
        <f aca="false">03_CLEAN_DATA!A47</f>
        <v>Czechia</v>
      </c>
      <c r="B47" s="7" t="str">
        <f aca="false">03_CLEAN_DATA!B47</f>
        <v>CZE</v>
      </c>
      <c r="C47" s="7" t="n">
        <f aca="false">03_CLEAN_DATA!C47</f>
        <v>2023</v>
      </c>
      <c r="D47" s="11" t="n">
        <f aca="false">IF(C47=2010,IF(OR(03_CLEAN_DATA!H47="",INDEX($R$8:$R$11,MATCH(B47,$Q$8:$Q$11,0))=""),"",(03_CLEAN_DATA!H47/INDEX($R$8:$R$11,MATCH(B47,$Q$8:$Q$11,0))-1)*100),IF(OR(03_CLEAN_DATA!H47="",03_CLEAN_DATA!H46=""),"",(03_CLEAN_DATA!H47/03_CLEAN_DATA!H46-1)*100))</f>
        <v>2.34796705681075</v>
      </c>
      <c r="E47" s="11" t="n">
        <f aca="false">IF(OR(03_CLEAN_DATA!G47="",03_CLEAN_DATA!I47="",03_CLEAN_DATA!D47=""),"",(03_CLEAN_DATA!G47-03_CLEAN_DATA!I47)/03_CLEAN_DATA!D47*100)</f>
        <v>4.91361556101409</v>
      </c>
      <c r="F47" s="11" t="n">
        <f aca="false">IF(OR(03_CLEAN_DATA!G47="",03_CLEAN_DATA!I47="",03_CLEAN_DATA!D47=""),"",(03_CLEAN_DATA!G47+03_CLEAN_DATA!I47)/03_CLEAN_DATA!D47*100)</f>
        <v>131.892598295876</v>
      </c>
      <c r="G47" s="12" t="n">
        <f aca="false">IF(OR(F47="",03_CLEAN_DATA!L47=""),"",F47-03_CLEAN_DATA!L47)</f>
        <v>0</v>
      </c>
      <c r="H47" s="13" t="n">
        <f aca="false">IF(03_CLEAN_DATA!H47="","",03_CLEAN_DATA!H47/SUMIFS(03_CLEAN_DATA!$H$2:$H$65,03_CLEAN_DATA!$B$2:$B$65,B47,03_CLEAN_DATA!$C$2:$C$65,$R$4)*100)</f>
        <v>163.667385658569</v>
      </c>
      <c r="I47" s="7" t="str">
        <f aca="false">IF(C47&lt;=2019,"Pre-COVID (2010-2019)",IF(C47&lt;=2021,"COVID (2020-2021)","Post-COVID (2022-2025)"))</f>
        <v>Post-COVID (2022-2025)</v>
      </c>
      <c r="J47" s="7" t="str">
        <f aca="false">IF(04_CALCULATIONS!D47="","MISSING",TRIM(IF(OR(04_CALCULATIONS!D47&lt;$T$15,04_CALCULATIONS!D47&gt;$U$15),"IQR ","")&amp;IF(ABS((04_CALCULATIONS!D47-AVERAGE(04_CALCULATIONS!$D$34:$D$49))/STDEV(04_CALCULATIONS!$D$34:$D$49))&gt;$R$3," Z","")&amp;IF($C47=2010," Rebound","")))</f>
        <v/>
      </c>
      <c r="K47" s="7" t="str">
        <f aca="false">IF(03_CLEAN_DATA!E47="","MISSING",TRIM(IF(OR(03_CLEAN_DATA!E47&lt;$T$16,03_CLEAN_DATA!E47&gt;$U$16),"IQR ","")&amp;IF(ABS((03_CLEAN_DATA!E47-AVERAGE(03_CLEAN_DATA!$E$34:$E$49))/STDEV(03_CLEAN_DATA!$E$34:$E$49))&gt;$R$3," Z","")))</f>
        <v/>
      </c>
      <c r="L47" s="7" t="str">
        <f aca="false">IF(03_CLEAN_DATA!N47="","MISSING",TRIM(IF(OR(03_CLEAN_DATA!N47&lt;$T$17,03_CLEAN_DATA!N47&gt;$U$17),"IQR ","")&amp;IF(ABS((03_CLEAN_DATA!N47-AVERAGE(03_CLEAN_DATA!$N$34:$N$49))/STDEV(03_CLEAN_DATA!$N$34:$N$49))&gt;$R$3," Z","")))</f>
        <v/>
      </c>
      <c r="M47" s="7" t="str">
        <f aca="false">IF(03_CLEAN_DATA!O47="","MISSING",TRIM(IF(OR(03_CLEAN_DATA!O47&lt;$T$18,03_CLEAN_DATA!O47&gt;$U$18),"IQR ","")&amp;IF(ABS((03_CLEAN_DATA!O47-AVERAGE(03_CLEAN_DATA!$O$34:$O$49))/STDEV(03_CLEAN_DATA!$O$34:$O$49))&gt;$R$3," Z","")))</f>
        <v/>
      </c>
      <c r="N47" s="7" t="str">
        <f aca="false">IF(04_CALCULATIONS!E47="","MISSING",TRIM(IF(OR(04_CALCULATIONS!E47&lt;$T$19,04_CALCULATIONS!E47&gt;$U$19),"IQR ","")&amp;IF(ABS((04_CALCULATIONS!E47-AVERAGE(04_CALCULATIONS!$E$34:$E$49))/STDEV(04_CALCULATIONS!$E$34:$E$49))&gt;$R$3," Z","")))</f>
        <v/>
      </c>
      <c r="O47" s="7" t="str">
        <f aca="false">IF(03_CLEAN_DATA!L47="","MISSING",TRIM(IF(OR(03_CLEAN_DATA!L47&lt;$T$20,03_CLEAN_DATA!L47&gt;$U$20),"IQR ","")&amp;IF(ABS((03_CLEAN_DATA!L47-AVERAGE(03_CLEAN_DATA!$L$34:$L$49))/STDEV(03_CLEAN_DATA!$L$34:$L$49))&gt;$R$3," Z","")))</f>
        <v/>
      </c>
    </row>
    <row r="48" customFormat="false" ht="15" hidden="false" customHeight="false" outlineLevel="0" collapsed="false">
      <c r="A48" s="7" t="str">
        <f aca="false">03_CLEAN_DATA!A48</f>
        <v>Czechia</v>
      </c>
      <c r="B48" s="7" t="str">
        <f aca="false">03_CLEAN_DATA!B48</f>
        <v>CZE</v>
      </c>
      <c r="C48" s="7" t="n">
        <f aca="false">03_CLEAN_DATA!C48</f>
        <v>2024</v>
      </c>
      <c r="D48" s="11" t="n">
        <f aca="false">IF(C48=2010,IF(OR(03_CLEAN_DATA!H48="",INDEX($R$8:$R$11,MATCH(B48,$Q$8:$Q$11,0))=""),"",(03_CLEAN_DATA!H48/INDEX($R$8:$R$11,MATCH(B48,$Q$8:$Q$11,0))-1)*100),IF(OR(03_CLEAN_DATA!H48="",03_CLEAN_DATA!H47=""),"",(03_CLEAN_DATA!H48/03_CLEAN_DATA!H47-1)*100))</f>
        <v>1.52528988187148</v>
      </c>
      <c r="E48" s="11" t="n">
        <f aca="false">IF(OR(03_CLEAN_DATA!G48="",03_CLEAN_DATA!I48="",03_CLEAN_DATA!D48=""),"",(03_CLEAN_DATA!G48-03_CLEAN_DATA!I48)/03_CLEAN_DATA!D48*100)</f>
        <v>6.250448303446</v>
      </c>
      <c r="F48" s="11" t="n">
        <f aca="false">IF(OR(03_CLEAN_DATA!G48="",03_CLEAN_DATA!I48="",03_CLEAN_DATA!D48=""),"",(03_CLEAN_DATA!G48+03_CLEAN_DATA!I48)/03_CLEAN_DATA!D48*100)</f>
        <v>131.466608125579</v>
      </c>
      <c r="G48" s="12" t="n">
        <f aca="false">IF(OR(F48="",03_CLEAN_DATA!L48=""),"",F48-03_CLEAN_DATA!L48)</f>
        <v>0</v>
      </c>
      <c r="H48" s="13" t="n">
        <f aca="false">IF(03_CLEAN_DATA!H48="","",03_CLEAN_DATA!H48/SUMIFS(03_CLEAN_DATA!$H$2:$H$65,03_CLEAN_DATA!$B$2:$B$65,B48,03_CLEAN_DATA!$C$2:$C$65,$R$4)*100)</f>
        <v>166.163787731942</v>
      </c>
      <c r="I48" s="7" t="str">
        <f aca="false">IF(C48&lt;=2019,"Pre-COVID (2010-2019)",IF(C48&lt;=2021,"COVID (2020-2021)","Post-COVID (2022-2025)"))</f>
        <v>Post-COVID (2022-2025)</v>
      </c>
      <c r="J48" s="7" t="str">
        <f aca="false">IF(04_CALCULATIONS!D48="","MISSING",TRIM(IF(OR(04_CALCULATIONS!D48&lt;$T$15,04_CALCULATIONS!D48&gt;$U$15),"IQR ","")&amp;IF(ABS((04_CALCULATIONS!D48-AVERAGE(04_CALCULATIONS!$D$34:$D$49))/STDEV(04_CALCULATIONS!$D$34:$D$49))&gt;$R$3," Z","")&amp;IF($C48=2010," Rebound","")))</f>
        <v/>
      </c>
      <c r="K48" s="7" t="str">
        <f aca="false">IF(03_CLEAN_DATA!E48="","MISSING",TRIM(IF(OR(03_CLEAN_DATA!E48&lt;$T$16,03_CLEAN_DATA!E48&gt;$U$16),"IQR ","")&amp;IF(ABS((03_CLEAN_DATA!E48-AVERAGE(03_CLEAN_DATA!$E$34:$E$49))/STDEV(03_CLEAN_DATA!$E$34:$E$49))&gt;$R$3," Z","")))</f>
        <v/>
      </c>
      <c r="L48" s="7" t="str">
        <f aca="false">IF(03_CLEAN_DATA!N48="","MISSING",TRIM(IF(OR(03_CLEAN_DATA!N48&lt;$T$17,03_CLEAN_DATA!N48&gt;$U$17),"IQR ","")&amp;IF(ABS((03_CLEAN_DATA!N48-AVERAGE(03_CLEAN_DATA!$N$34:$N$49))/STDEV(03_CLEAN_DATA!$N$34:$N$49))&gt;$R$3," Z","")))</f>
        <v/>
      </c>
      <c r="M48" s="7" t="str">
        <f aca="false">IF(03_CLEAN_DATA!O48="","MISSING",TRIM(IF(OR(03_CLEAN_DATA!O48&lt;$T$18,03_CLEAN_DATA!O48&gt;$U$18),"IQR ","")&amp;IF(ABS((03_CLEAN_DATA!O48-AVERAGE(03_CLEAN_DATA!$O$34:$O$49))/STDEV(03_CLEAN_DATA!$O$34:$O$49))&gt;$R$3," Z","")))</f>
        <v/>
      </c>
      <c r="N48" s="7" t="str">
        <f aca="false">IF(04_CALCULATIONS!E48="","MISSING",TRIM(IF(OR(04_CALCULATIONS!E48&lt;$T$19,04_CALCULATIONS!E48&gt;$U$19),"IQR ","")&amp;IF(ABS((04_CALCULATIONS!E48-AVERAGE(04_CALCULATIONS!$E$34:$E$49))/STDEV(04_CALCULATIONS!$E$34:$E$49))&gt;$R$3," Z","")))</f>
        <v/>
      </c>
      <c r="O48" s="7" t="str">
        <f aca="false">IF(03_CLEAN_DATA!L48="","MISSING",TRIM(IF(OR(03_CLEAN_DATA!L48&lt;$T$20,03_CLEAN_DATA!L48&gt;$U$20),"IQR ","")&amp;IF(ABS((03_CLEAN_DATA!L48-AVERAGE(03_CLEAN_DATA!$L$34:$L$49))/STDEV(03_CLEAN_DATA!$L$34:$L$49))&gt;$R$3," Z","")))</f>
        <v/>
      </c>
    </row>
    <row r="49" customFormat="false" ht="15" hidden="false" customHeight="false" outlineLevel="0" collapsed="false">
      <c r="A49" s="7" t="str">
        <f aca="false">03_CLEAN_DATA!A49</f>
        <v>Czechia</v>
      </c>
      <c r="B49" s="7" t="str">
        <f aca="false">03_CLEAN_DATA!B49</f>
        <v>CZE</v>
      </c>
      <c r="C49" s="7" t="n">
        <f aca="false">03_CLEAN_DATA!C49</f>
        <v>2025</v>
      </c>
      <c r="D49" s="11" t="n">
        <f aca="false">IF(C49=2010,IF(OR(03_CLEAN_DATA!H49="",INDEX($R$8:$R$11,MATCH(B49,$Q$8:$Q$11,0))=""),"",(03_CLEAN_DATA!H49/INDEX($R$8:$R$11,MATCH(B49,$Q$8:$Q$11,0))-1)*100),IF(OR(03_CLEAN_DATA!H49="",03_CLEAN_DATA!H48=""),"",(03_CLEAN_DATA!H49/03_CLEAN_DATA!H48-1)*100))</f>
        <v>3.90217049622543</v>
      </c>
      <c r="E49" s="11" t="n">
        <f aca="false">IF(OR(03_CLEAN_DATA!G49="",03_CLEAN_DATA!I49="",03_CLEAN_DATA!D49=""),"",(03_CLEAN_DATA!G49-03_CLEAN_DATA!I49)/03_CLEAN_DATA!D49*100)</f>
        <v>5.85075449497065</v>
      </c>
      <c r="F49" s="11" t="n">
        <f aca="false">IF(OR(03_CLEAN_DATA!G49="",03_CLEAN_DATA!I49="",03_CLEAN_DATA!D49=""),"",(03_CLEAN_DATA!G49+03_CLEAN_DATA!I49)/03_CLEAN_DATA!D49*100)</f>
        <v>128.039437374276</v>
      </c>
      <c r="G49" s="12" t="n">
        <f aca="false">IF(OR(F49="",03_CLEAN_DATA!L49=""),"",F49-03_CLEAN_DATA!L49)</f>
        <v>0</v>
      </c>
      <c r="H49" s="13" t="n">
        <f aca="false">IF(03_CLEAN_DATA!H49="","",03_CLEAN_DATA!H49/SUMIFS(03_CLEAN_DATA!$H$2:$H$65,03_CLEAN_DATA!$B$2:$B$65,B49,03_CLEAN_DATA!$C$2:$C$65,$R$4)*100)</f>
        <v>172.647782032229</v>
      </c>
      <c r="I49" s="7" t="str">
        <f aca="false">IF(C49&lt;=2019,"Pre-COVID (2010-2019)",IF(C49&lt;=2021,"COVID (2020-2021)","Post-COVID (2022-2025)"))</f>
        <v>Post-COVID (2022-2025)</v>
      </c>
      <c r="J49" s="7" t="str">
        <f aca="false">IF(04_CALCULATIONS!D49="","MISSING",TRIM(IF(OR(04_CALCULATIONS!D49&lt;$T$15,04_CALCULATIONS!D49&gt;$U$15),"IQR ","")&amp;IF(ABS((04_CALCULATIONS!D49-AVERAGE(04_CALCULATIONS!$D$34:$D$49))/STDEV(04_CALCULATIONS!$D$34:$D$49))&gt;$R$3," Z","")&amp;IF($C49=2010," Rebound","")))</f>
        <v/>
      </c>
      <c r="K49" s="7" t="str">
        <f aca="false">IF(03_CLEAN_DATA!E49="","MISSING",TRIM(IF(OR(03_CLEAN_DATA!E49&lt;$T$16,03_CLEAN_DATA!E49&gt;$U$16),"IQR ","")&amp;IF(ABS((03_CLEAN_DATA!E49-AVERAGE(03_CLEAN_DATA!$E$34:$E$49))/STDEV(03_CLEAN_DATA!$E$34:$E$49))&gt;$R$3," Z","")))</f>
        <v/>
      </c>
      <c r="L49" s="7" t="str">
        <f aca="false">IF(03_CLEAN_DATA!N49="","MISSING",TRIM(IF(OR(03_CLEAN_DATA!N49&lt;$T$17,03_CLEAN_DATA!N49&gt;$U$17),"IQR ","")&amp;IF(ABS((03_CLEAN_DATA!N49-AVERAGE(03_CLEAN_DATA!$N$34:$N$49))/STDEV(03_CLEAN_DATA!$N$34:$N$49))&gt;$R$3," Z","")))</f>
        <v/>
      </c>
      <c r="M49" s="7" t="str">
        <f aca="false">IF(03_CLEAN_DATA!O49="","MISSING",TRIM(IF(OR(03_CLEAN_DATA!O49&lt;$T$18,03_CLEAN_DATA!O49&gt;$U$18),"IQR ","")&amp;IF(ABS((03_CLEAN_DATA!O49-AVERAGE(03_CLEAN_DATA!$O$34:$O$49))/STDEV(03_CLEAN_DATA!$O$34:$O$49))&gt;$R$3," Z","")))</f>
        <v/>
      </c>
      <c r="N49" s="7" t="str">
        <f aca="false">IF(04_CALCULATIONS!E49="","MISSING",TRIM(IF(OR(04_CALCULATIONS!E49&lt;$T$19,04_CALCULATIONS!E49&gt;$U$19),"IQR ","")&amp;IF(ABS((04_CALCULATIONS!E49-AVERAGE(04_CALCULATIONS!$E$34:$E$49))/STDEV(04_CALCULATIONS!$E$34:$E$49))&gt;$R$3," Z","")))</f>
        <v/>
      </c>
      <c r="O49" s="7" t="str">
        <f aca="false">IF(03_CLEAN_DATA!L49="","MISSING",TRIM(IF(OR(03_CLEAN_DATA!L49&lt;$T$20,03_CLEAN_DATA!L49&gt;$U$20),"IQR ","")&amp;IF(ABS((03_CLEAN_DATA!L49-AVERAGE(03_CLEAN_DATA!$L$34:$L$49))/STDEV(03_CLEAN_DATA!$L$34:$L$49))&gt;$R$3," Z","")))</f>
        <v/>
      </c>
    </row>
    <row r="50" customFormat="false" ht="15" hidden="false" customHeight="false" outlineLevel="0" collapsed="false">
      <c r="A50" s="7" t="str">
        <f aca="false">03_CLEAN_DATA!A50</f>
        <v>Slovakia</v>
      </c>
      <c r="B50" s="7" t="str">
        <f aca="false">03_CLEAN_DATA!B50</f>
        <v>SVK</v>
      </c>
      <c r="C50" s="7" t="n">
        <f aca="false">03_CLEAN_DATA!C50</f>
        <v>2010</v>
      </c>
      <c r="D50" s="11" t="n">
        <f aca="false">IF(C50=2010,IF(OR(03_CLEAN_DATA!H50="",INDEX($R$8:$R$11,MATCH(B50,$Q$8:$Q$11,0))=""),"",(03_CLEAN_DATA!H50/INDEX($R$8:$R$11,MATCH(B50,$Q$8:$Q$11,0))-1)*100),IF(OR(03_CLEAN_DATA!H50="",03_CLEAN_DATA!H49=""),"",(03_CLEAN_DATA!H50/03_CLEAN_DATA!H49-1)*100))</f>
        <v>18.0367547456067</v>
      </c>
      <c r="E50" s="11" t="n">
        <f aca="false">IF(OR(03_CLEAN_DATA!G50="",03_CLEAN_DATA!I50="",03_CLEAN_DATA!D50=""),"",(03_CLEAN_DATA!G50-03_CLEAN_DATA!I50)/03_CLEAN_DATA!D50*100)</f>
        <v>-0.946333509111594</v>
      </c>
      <c r="F50" s="11" t="n">
        <f aca="false">IF(OR(03_CLEAN_DATA!G50="",03_CLEAN_DATA!I50="",03_CLEAN_DATA!D50=""),"",(03_CLEAN_DATA!G50+03_CLEAN_DATA!I50)/03_CLEAN_DATA!D50*100)</f>
        <v>155.108497681586</v>
      </c>
      <c r="G50" s="12" t="n">
        <f aca="false">IF(OR(F50="",03_CLEAN_DATA!L50=""),"",F50-03_CLEAN_DATA!L50)</f>
        <v>0</v>
      </c>
      <c r="H50" s="13" t="n">
        <f aca="false">IF(03_CLEAN_DATA!H50="","",03_CLEAN_DATA!H50/SUMIFS(03_CLEAN_DATA!$H$2:$H$65,03_CLEAN_DATA!$B$2:$B$65,B50,03_CLEAN_DATA!$C$2:$C$65,$R$4)*100)</f>
        <v>100</v>
      </c>
      <c r="I50" s="7" t="str">
        <f aca="false">IF(C50&lt;=2019,"Pre-COVID (2010-2019)",IF(C50&lt;=2021,"COVID (2020-2021)","Post-COVID (2022-2025)"))</f>
        <v>Pre-COVID (2010-2019)</v>
      </c>
      <c r="J50" s="7" t="str">
        <f aca="false">IF(04_CALCULATIONS!D50="","MISSING",TRIM(IF(OR(04_CALCULATIONS!D50&lt;$T$15,04_CALCULATIONS!D50&gt;$U$15),"IQR ","")&amp;IF(ABS((04_CALCULATIONS!D50-AVERAGE(04_CALCULATIONS!$D$50:$D$65))/STDEV(04_CALCULATIONS!$D$50:$D$65))&gt;$R$3," Z","")&amp;IF($C50=2010," Rebound","")))</f>
        <v>IQR Rebound</v>
      </c>
      <c r="K50" s="7" t="str">
        <f aca="false">IF(03_CLEAN_DATA!E50="","MISSING",TRIM(IF(OR(03_CLEAN_DATA!E50&lt;$T$16,03_CLEAN_DATA!E50&gt;$U$16),"IQR ","")&amp;IF(ABS((03_CLEAN_DATA!E50-AVERAGE(03_CLEAN_DATA!$E$50:$E$65))/STDEV(03_CLEAN_DATA!$E$50:$E$65))&gt;$R$3," Z","")))</f>
        <v/>
      </c>
      <c r="L50" s="7" t="str">
        <f aca="false">IF(03_CLEAN_DATA!N50="","MISSING",TRIM(IF(OR(03_CLEAN_DATA!N50&lt;$T$17,03_CLEAN_DATA!N50&gt;$U$17),"IQR ","")&amp;IF(ABS((03_CLEAN_DATA!N50-AVERAGE(03_CLEAN_DATA!$N$50:$N$65))/STDEV(03_CLEAN_DATA!$N$50:$N$65))&gt;$R$3," Z","")))</f>
        <v/>
      </c>
      <c r="M50" s="7" t="str">
        <f aca="false">IF(03_CLEAN_DATA!O50="","MISSING",TRIM(IF(OR(03_CLEAN_DATA!O50&lt;$T$18,03_CLEAN_DATA!O50&gt;$U$18),"IQR ","")&amp;IF(ABS((03_CLEAN_DATA!O50-AVERAGE(03_CLEAN_DATA!$O$50:$O$65))/STDEV(03_CLEAN_DATA!$O$50:$O$65))&gt;$R$3," Z","")))</f>
        <v/>
      </c>
      <c r="N50" s="7" t="str">
        <f aca="false">IF(04_CALCULATIONS!E50="","MISSING",TRIM(IF(OR(04_CALCULATIONS!E50&lt;$T$19,04_CALCULATIONS!E50&gt;$U$19),"IQR ","")&amp;IF(ABS((04_CALCULATIONS!E50-AVERAGE(04_CALCULATIONS!$E$50:$E$65))/STDEV(04_CALCULATIONS!$E$50:$E$65))&gt;$R$3," Z","")))</f>
        <v/>
      </c>
      <c r="O50" s="7" t="str">
        <f aca="false">IF(03_CLEAN_DATA!L50="","MISSING",TRIM(IF(OR(03_CLEAN_DATA!L50&lt;$T$20,03_CLEAN_DATA!L50&gt;$U$20),"IQR ","")&amp;IF(ABS((03_CLEAN_DATA!L50-AVERAGE(03_CLEAN_DATA!$L$50:$L$65))/STDEV(03_CLEAN_DATA!$L$50:$L$65))&gt;$R$3," Z","")))</f>
        <v/>
      </c>
    </row>
    <row r="51" customFormat="false" ht="15" hidden="false" customHeight="false" outlineLevel="0" collapsed="false">
      <c r="A51" s="7" t="str">
        <f aca="false">03_CLEAN_DATA!A51</f>
        <v>Slovakia</v>
      </c>
      <c r="B51" s="7" t="str">
        <f aca="false">03_CLEAN_DATA!B51</f>
        <v>SVK</v>
      </c>
      <c r="C51" s="7" t="n">
        <f aca="false">03_CLEAN_DATA!C51</f>
        <v>2011</v>
      </c>
      <c r="D51" s="11" t="n">
        <f aca="false">IF(C51=2010,IF(OR(03_CLEAN_DATA!H51="",INDEX($R$8:$R$11,MATCH(B51,$Q$8:$Q$11,0))=""),"",(03_CLEAN_DATA!H51/INDEX($R$8:$R$11,MATCH(B51,$Q$8:$Q$11,0))-1)*100),IF(OR(03_CLEAN_DATA!H51="",03_CLEAN_DATA!H50=""),"",(03_CLEAN_DATA!H51/03_CLEAN_DATA!H50-1)*100))</f>
        <v>10.0895270805303</v>
      </c>
      <c r="E51" s="11" t="n">
        <f aca="false">IF(OR(03_CLEAN_DATA!G51="",03_CLEAN_DATA!I51="",03_CLEAN_DATA!D51=""),"",(03_CLEAN_DATA!G51-03_CLEAN_DATA!I51)/03_CLEAN_DATA!D51*100)</f>
        <v>0.0880279367450213</v>
      </c>
      <c r="F51" s="11" t="n">
        <f aca="false">IF(OR(03_CLEAN_DATA!G51="",03_CLEAN_DATA!I51="",03_CLEAN_DATA!D51=""),"",(03_CLEAN_DATA!G51+03_CLEAN_DATA!I51)/03_CLEAN_DATA!D51*100)</f>
        <v>169.178076311066</v>
      </c>
      <c r="G51" s="12" t="n">
        <f aca="false">IF(OR(F51="",03_CLEAN_DATA!L51=""),"",F51-03_CLEAN_DATA!L51)</f>
        <v>0</v>
      </c>
      <c r="H51" s="13" t="n">
        <f aca="false">IF(03_CLEAN_DATA!H51="","",03_CLEAN_DATA!H51/SUMIFS(03_CLEAN_DATA!$H$2:$H$65,03_CLEAN_DATA!$B$2:$B$65,B51,03_CLEAN_DATA!$C$2:$C$65,$R$4)*100)</f>
        <v>110.08952708053</v>
      </c>
      <c r="I51" s="7" t="str">
        <f aca="false">IF(C51&lt;=2019,"Pre-COVID (2010-2019)",IF(C51&lt;=2021,"COVID (2020-2021)","Post-COVID (2022-2025)"))</f>
        <v>Pre-COVID (2010-2019)</v>
      </c>
      <c r="J51" s="7" t="str">
        <f aca="false">IF(04_CALCULATIONS!D51="","MISSING",TRIM(IF(OR(04_CALCULATIONS!D51&lt;$T$15,04_CALCULATIONS!D51&gt;$U$15),"IQR ","")&amp;IF(ABS((04_CALCULATIONS!D51-AVERAGE(04_CALCULATIONS!$D$50:$D$65))/STDEV(04_CALCULATIONS!$D$50:$D$65))&gt;$R$3," Z","")&amp;IF($C51=2010," Rebound","")))</f>
        <v/>
      </c>
      <c r="K51" s="7" t="str">
        <f aca="false">IF(03_CLEAN_DATA!E51="","MISSING",TRIM(IF(OR(03_CLEAN_DATA!E51&lt;$T$16,03_CLEAN_DATA!E51&gt;$U$16),"IQR ","")&amp;IF(ABS((03_CLEAN_DATA!E51-AVERAGE(03_CLEAN_DATA!$E$50:$E$65))/STDEV(03_CLEAN_DATA!$E$50:$E$65))&gt;$R$3," Z","")))</f>
        <v/>
      </c>
      <c r="L51" s="7" t="str">
        <f aca="false">IF(03_CLEAN_DATA!N51="","MISSING",TRIM(IF(OR(03_CLEAN_DATA!N51&lt;$T$17,03_CLEAN_DATA!N51&gt;$U$17),"IQR ","")&amp;IF(ABS((03_CLEAN_DATA!N51-AVERAGE(03_CLEAN_DATA!$N$50:$N$65))/STDEV(03_CLEAN_DATA!$N$50:$N$65))&gt;$R$3," Z","")))</f>
        <v/>
      </c>
      <c r="M51" s="7" t="str">
        <f aca="false">IF(03_CLEAN_DATA!O51="","MISSING",TRIM(IF(OR(03_CLEAN_DATA!O51&lt;$T$18,03_CLEAN_DATA!O51&gt;$U$18),"IQR ","")&amp;IF(ABS((03_CLEAN_DATA!O51-AVERAGE(03_CLEAN_DATA!$O$50:$O$65))/STDEV(03_CLEAN_DATA!$O$50:$O$65))&gt;$R$3," Z","")))</f>
        <v/>
      </c>
      <c r="N51" s="7" t="str">
        <f aca="false">IF(04_CALCULATIONS!E51="","MISSING",TRIM(IF(OR(04_CALCULATIONS!E51&lt;$T$19,04_CALCULATIONS!E51&gt;$U$19),"IQR ","")&amp;IF(ABS((04_CALCULATIONS!E51-AVERAGE(04_CALCULATIONS!$E$50:$E$65))/STDEV(04_CALCULATIONS!$E$50:$E$65))&gt;$R$3," Z","")))</f>
        <v/>
      </c>
      <c r="O51" s="7" t="str">
        <f aca="false">IF(03_CLEAN_DATA!L51="","MISSING",TRIM(IF(OR(03_CLEAN_DATA!L51&lt;$T$20,03_CLEAN_DATA!L51&gt;$U$20),"IQR ","")&amp;IF(ABS((03_CLEAN_DATA!L51-AVERAGE(03_CLEAN_DATA!$L$50:$L$65))/STDEV(03_CLEAN_DATA!$L$50:$L$65))&gt;$R$3," Z","")))</f>
        <v/>
      </c>
    </row>
    <row r="52" customFormat="false" ht="15" hidden="false" customHeight="false" outlineLevel="0" collapsed="false">
      <c r="A52" s="7" t="str">
        <f aca="false">03_CLEAN_DATA!A52</f>
        <v>Slovakia</v>
      </c>
      <c r="B52" s="7" t="str">
        <f aca="false">03_CLEAN_DATA!B52</f>
        <v>SVK</v>
      </c>
      <c r="C52" s="7" t="n">
        <f aca="false">03_CLEAN_DATA!C52</f>
        <v>2012</v>
      </c>
      <c r="D52" s="11" t="n">
        <f aca="false">IF(C52=2010,IF(OR(03_CLEAN_DATA!H52="",INDEX($R$8:$R$11,MATCH(B52,$Q$8:$Q$11,0))=""),"",(03_CLEAN_DATA!H52/INDEX($R$8:$R$11,MATCH(B52,$Q$8:$Q$11,0))-1)*100),IF(OR(03_CLEAN_DATA!H52="",03_CLEAN_DATA!H51=""),"",(03_CLEAN_DATA!H52/03_CLEAN_DATA!H51-1)*100))</f>
        <v>9.21016484852928</v>
      </c>
      <c r="E52" s="11" t="n">
        <f aca="false">IF(OR(03_CLEAN_DATA!G52="",03_CLEAN_DATA!I52="",03_CLEAN_DATA!D52=""),"",(03_CLEAN_DATA!G52-03_CLEAN_DATA!I52)/03_CLEAN_DATA!D52*100)</f>
        <v>4.84876716533062</v>
      </c>
      <c r="F52" s="11" t="n">
        <f aca="false">IF(OR(03_CLEAN_DATA!G52="",03_CLEAN_DATA!I52="",03_CLEAN_DATA!D52=""),"",(03_CLEAN_DATA!G52+03_CLEAN_DATA!I52)/03_CLEAN_DATA!D52*100)</f>
        <v>176.968958181431</v>
      </c>
      <c r="G52" s="12" t="n">
        <f aca="false">IF(OR(F52="",03_CLEAN_DATA!L52=""),"",F52-03_CLEAN_DATA!L52)</f>
        <v>0</v>
      </c>
      <c r="H52" s="13" t="n">
        <f aca="false">IF(03_CLEAN_DATA!H52="","",03_CLEAN_DATA!H52/SUMIFS(03_CLEAN_DATA!$H$2:$H$65,03_CLEAN_DATA!$B$2:$B$65,B52,03_CLEAN_DATA!$C$2:$C$65,$R$4)*100)</f>
        <v>120.228954005613</v>
      </c>
      <c r="I52" s="7" t="str">
        <f aca="false">IF(C52&lt;=2019,"Pre-COVID (2010-2019)",IF(C52&lt;=2021,"COVID (2020-2021)","Post-COVID (2022-2025)"))</f>
        <v>Pre-COVID (2010-2019)</v>
      </c>
      <c r="J52" s="7" t="str">
        <f aca="false">IF(04_CALCULATIONS!D52="","MISSING",TRIM(IF(OR(04_CALCULATIONS!D52&lt;$T$15,04_CALCULATIONS!D52&gt;$U$15),"IQR ","")&amp;IF(ABS((04_CALCULATIONS!D52-AVERAGE(04_CALCULATIONS!$D$50:$D$65))/STDEV(04_CALCULATIONS!$D$50:$D$65))&gt;$R$3," Z","")&amp;IF($C52=2010," Rebound","")))</f>
        <v/>
      </c>
      <c r="K52" s="7" t="str">
        <f aca="false">IF(03_CLEAN_DATA!E52="","MISSING",TRIM(IF(OR(03_CLEAN_DATA!E52&lt;$T$16,03_CLEAN_DATA!E52&gt;$U$16),"IQR ","")&amp;IF(ABS((03_CLEAN_DATA!E52-AVERAGE(03_CLEAN_DATA!$E$50:$E$65))/STDEV(03_CLEAN_DATA!$E$50:$E$65))&gt;$R$3," Z","")))</f>
        <v/>
      </c>
      <c r="L52" s="7" t="str">
        <f aca="false">IF(03_CLEAN_DATA!N52="","MISSING",TRIM(IF(OR(03_CLEAN_DATA!N52&lt;$T$17,03_CLEAN_DATA!N52&gt;$U$17),"IQR ","")&amp;IF(ABS((03_CLEAN_DATA!N52-AVERAGE(03_CLEAN_DATA!$N$50:$N$65))/STDEV(03_CLEAN_DATA!$N$50:$N$65))&gt;$R$3," Z","")))</f>
        <v/>
      </c>
      <c r="M52" s="7" t="str">
        <f aca="false">IF(03_CLEAN_DATA!O52="","MISSING",TRIM(IF(OR(03_CLEAN_DATA!O52&lt;$T$18,03_CLEAN_DATA!O52&gt;$U$18),"IQR ","")&amp;IF(ABS((03_CLEAN_DATA!O52-AVERAGE(03_CLEAN_DATA!$O$50:$O$65))/STDEV(03_CLEAN_DATA!$O$50:$O$65))&gt;$R$3," Z","")))</f>
        <v/>
      </c>
      <c r="N52" s="7" t="str">
        <f aca="false">IF(04_CALCULATIONS!E52="","MISSING",TRIM(IF(OR(04_CALCULATIONS!E52&lt;$T$19,04_CALCULATIONS!E52&gt;$U$19),"IQR ","")&amp;IF(ABS((04_CALCULATIONS!E52-AVERAGE(04_CALCULATIONS!$E$50:$E$65))/STDEV(04_CALCULATIONS!$E$50:$E$65))&gt;$R$3," Z","")))</f>
        <v/>
      </c>
      <c r="O52" s="7" t="str">
        <f aca="false">IF(03_CLEAN_DATA!L52="","MISSING",TRIM(IF(OR(03_CLEAN_DATA!L52&lt;$T$20,03_CLEAN_DATA!L52&gt;$U$20),"IQR ","")&amp;IF(ABS((03_CLEAN_DATA!L52-AVERAGE(03_CLEAN_DATA!$L$50:$L$65))/STDEV(03_CLEAN_DATA!$L$50:$L$65))&gt;$R$3," Z","")))</f>
        <v/>
      </c>
    </row>
    <row r="53" customFormat="false" ht="15" hidden="false" customHeight="false" outlineLevel="0" collapsed="false">
      <c r="A53" s="7" t="str">
        <f aca="false">03_CLEAN_DATA!A53</f>
        <v>Slovakia</v>
      </c>
      <c r="B53" s="7" t="str">
        <f aca="false">03_CLEAN_DATA!B53</f>
        <v>SVK</v>
      </c>
      <c r="C53" s="7" t="n">
        <f aca="false">03_CLEAN_DATA!C53</f>
        <v>2013</v>
      </c>
      <c r="D53" s="11" t="n">
        <f aca="false">IF(C53=2010,IF(OR(03_CLEAN_DATA!H53="",INDEX($R$8:$R$11,MATCH(B53,$Q$8:$Q$11,0))=""),"",(03_CLEAN_DATA!H53/INDEX($R$8:$R$11,MATCH(B53,$Q$8:$Q$11,0))-1)*100),IF(OR(03_CLEAN_DATA!H53="",03_CLEAN_DATA!H52=""),"",(03_CLEAN_DATA!H53/03_CLEAN_DATA!H52-1)*100))</f>
        <v>5.38152728766166</v>
      </c>
      <c r="E53" s="11" t="n">
        <f aca="false">IF(OR(03_CLEAN_DATA!G53="",03_CLEAN_DATA!I53="",03_CLEAN_DATA!D53=""),"",(03_CLEAN_DATA!G53-03_CLEAN_DATA!I53)/03_CLEAN_DATA!D53*100)</f>
        <v>4.85490799223945</v>
      </c>
      <c r="F53" s="11" t="n">
        <f aca="false">IF(OR(03_CLEAN_DATA!G53="",03_CLEAN_DATA!I53="",03_CLEAN_DATA!D53=""),"",(03_CLEAN_DATA!G53+03_CLEAN_DATA!I53)/03_CLEAN_DATA!D53*100)</f>
        <v>180.903136491458</v>
      </c>
      <c r="G53" s="12" t="n">
        <f aca="false">IF(OR(F53="",03_CLEAN_DATA!L53=""),"",F53-03_CLEAN_DATA!L53)</f>
        <v>0</v>
      </c>
      <c r="H53" s="13" t="n">
        <f aca="false">IF(03_CLEAN_DATA!H53="","",03_CLEAN_DATA!H53/SUMIFS(03_CLEAN_DATA!$H$2:$H$65,03_CLEAN_DATA!$B$2:$B$65,B53,03_CLEAN_DATA!$C$2:$C$65,$R$4)*100)</f>
        <v>126.699107973096</v>
      </c>
      <c r="I53" s="7" t="str">
        <f aca="false">IF(C53&lt;=2019,"Pre-COVID (2010-2019)",IF(C53&lt;=2021,"COVID (2020-2021)","Post-COVID (2022-2025)"))</f>
        <v>Pre-COVID (2010-2019)</v>
      </c>
      <c r="J53" s="7" t="str">
        <f aca="false">IF(04_CALCULATIONS!D53="","MISSING",TRIM(IF(OR(04_CALCULATIONS!D53&lt;$T$15,04_CALCULATIONS!D53&gt;$U$15),"IQR ","")&amp;IF(ABS((04_CALCULATIONS!D53-AVERAGE(04_CALCULATIONS!$D$50:$D$65))/STDEV(04_CALCULATIONS!$D$50:$D$65))&gt;$R$3," Z","")&amp;IF($C53=2010," Rebound","")))</f>
        <v/>
      </c>
      <c r="K53" s="7" t="str">
        <f aca="false">IF(03_CLEAN_DATA!E53="","MISSING",TRIM(IF(OR(03_CLEAN_DATA!E53&lt;$T$16,03_CLEAN_DATA!E53&gt;$U$16),"IQR ","")&amp;IF(ABS((03_CLEAN_DATA!E53-AVERAGE(03_CLEAN_DATA!$E$50:$E$65))/STDEV(03_CLEAN_DATA!$E$50:$E$65))&gt;$R$3," Z","")))</f>
        <v/>
      </c>
      <c r="L53" s="7" t="str">
        <f aca="false">IF(03_CLEAN_DATA!N53="","MISSING",TRIM(IF(OR(03_CLEAN_DATA!N53&lt;$T$17,03_CLEAN_DATA!N53&gt;$U$17),"IQR ","")&amp;IF(ABS((03_CLEAN_DATA!N53-AVERAGE(03_CLEAN_DATA!$N$50:$N$65))/STDEV(03_CLEAN_DATA!$N$50:$N$65))&gt;$R$3," Z","")))</f>
        <v/>
      </c>
      <c r="M53" s="7" t="str">
        <f aca="false">IF(03_CLEAN_DATA!O53="","MISSING",TRIM(IF(OR(03_CLEAN_DATA!O53&lt;$T$18,03_CLEAN_DATA!O53&gt;$U$18),"IQR ","")&amp;IF(ABS((03_CLEAN_DATA!O53-AVERAGE(03_CLEAN_DATA!$O$50:$O$65))/STDEV(03_CLEAN_DATA!$O$50:$O$65))&gt;$R$3," Z","")))</f>
        <v/>
      </c>
      <c r="N53" s="7" t="str">
        <f aca="false">IF(04_CALCULATIONS!E53="","MISSING",TRIM(IF(OR(04_CALCULATIONS!E53&lt;$T$19,04_CALCULATIONS!E53&gt;$U$19),"IQR ","")&amp;IF(ABS((04_CALCULATIONS!E53-AVERAGE(04_CALCULATIONS!$E$50:$E$65))/STDEV(04_CALCULATIONS!$E$50:$E$65))&gt;$R$3," Z","")))</f>
        <v/>
      </c>
      <c r="O53" s="7" t="str">
        <f aca="false">IF(03_CLEAN_DATA!L53="","MISSING",TRIM(IF(OR(03_CLEAN_DATA!L53&lt;$T$20,03_CLEAN_DATA!L53&gt;$U$20),"IQR ","")&amp;IF(ABS((03_CLEAN_DATA!L53-AVERAGE(03_CLEAN_DATA!$L$50:$L$65))/STDEV(03_CLEAN_DATA!$L$50:$L$65))&gt;$R$3," Z","")))</f>
        <v/>
      </c>
    </row>
    <row r="54" customFormat="false" ht="15" hidden="false" customHeight="false" outlineLevel="0" collapsed="false">
      <c r="A54" s="7" t="str">
        <f aca="false">03_CLEAN_DATA!A54</f>
        <v>Slovakia</v>
      </c>
      <c r="B54" s="7" t="str">
        <f aca="false">03_CLEAN_DATA!B54</f>
        <v>SVK</v>
      </c>
      <c r="C54" s="7" t="n">
        <f aca="false">03_CLEAN_DATA!C54</f>
        <v>2014</v>
      </c>
      <c r="D54" s="11" t="n">
        <f aca="false">IF(C54=2010,IF(OR(03_CLEAN_DATA!H54="",INDEX($R$8:$R$11,MATCH(B54,$Q$8:$Q$11,0))=""),"",(03_CLEAN_DATA!H54/INDEX($R$8:$R$11,MATCH(B54,$Q$8:$Q$11,0))-1)*100),IF(OR(03_CLEAN_DATA!H54="",03_CLEAN_DATA!H53=""),"",(03_CLEAN_DATA!H54/03_CLEAN_DATA!H53-1)*100))</f>
        <v>3.3012427962728</v>
      </c>
      <c r="E54" s="11" t="n">
        <f aca="false">IF(OR(03_CLEAN_DATA!G54="",03_CLEAN_DATA!I54="",03_CLEAN_DATA!D54=""),"",(03_CLEAN_DATA!G54-03_CLEAN_DATA!I54)/03_CLEAN_DATA!D54*100)</f>
        <v>4.12370187415996</v>
      </c>
      <c r="F54" s="11" t="n">
        <f aca="false">IF(OR(03_CLEAN_DATA!G54="",03_CLEAN_DATA!I54="",03_CLEAN_DATA!D54=""),"",(03_CLEAN_DATA!G54+03_CLEAN_DATA!I54)/03_CLEAN_DATA!D54*100)</f>
        <v>176.756316098133</v>
      </c>
      <c r="G54" s="12" t="n">
        <f aca="false">IF(OR(F54="",03_CLEAN_DATA!L54=""),"",F54-03_CLEAN_DATA!L54)</f>
        <v>0</v>
      </c>
      <c r="H54" s="13" t="n">
        <f aca="false">IF(03_CLEAN_DATA!H54="","",03_CLEAN_DATA!H54/SUMIFS(03_CLEAN_DATA!$H$2:$H$65,03_CLEAN_DATA!$B$2:$B$65,B54,03_CLEAN_DATA!$C$2:$C$65,$R$4)*100)</f>
        <v>130.881753147999</v>
      </c>
      <c r="I54" s="7" t="str">
        <f aca="false">IF(C54&lt;=2019,"Pre-COVID (2010-2019)",IF(C54&lt;=2021,"COVID (2020-2021)","Post-COVID (2022-2025)"))</f>
        <v>Pre-COVID (2010-2019)</v>
      </c>
      <c r="J54" s="7" t="str">
        <f aca="false">IF(04_CALCULATIONS!D54="","MISSING",TRIM(IF(OR(04_CALCULATIONS!D54&lt;$T$15,04_CALCULATIONS!D54&gt;$U$15),"IQR ","")&amp;IF(ABS((04_CALCULATIONS!D54-AVERAGE(04_CALCULATIONS!$D$50:$D$65))/STDEV(04_CALCULATIONS!$D$50:$D$65))&gt;$R$3," Z","")&amp;IF($C54=2010," Rebound","")))</f>
        <v/>
      </c>
      <c r="K54" s="7" t="str">
        <f aca="false">IF(03_CLEAN_DATA!E54="","MISSING",TRIM(IF(OR(03_CLEAN_DATA!E54&lt;$T$16,03_CLEAN_DATA!E54&gt;$U$16),"IQR ","")&amp;IF(ABS((03_CLEAN_DATA!E54-AVERAGE(03_CLEAN_DATA!$E$50:$E$65))/STDEV(03_CLEAN_DATA!$E$50:$E$65))&gt;$R$3," Z","")))</f>
        <v/>
      </c>
      <c r="L54" s="7" t="str">
        <f aca="false">IF(03_CLEAN_DATA!N54="","MISSING",TRIM(IF(OR(03_CLEAN_DATA!N54&lt;$T$17,03_CLEAN_DATA!N54&gt;$U$17),"IQR ","")&amp;IF(ABS((03_CLEAN_DATA!N54-AVERAGE(03_CLEAN_DATA!$N$50:$N$65))/STDEV(03_CLEAN_DATA!$N$50:$N$65))&gt;$R$3," Z","")))</f>
        <v/>
      </c>
      <c r="M54" s="7" t="str">
        <f aca="false">IF(03_CLEAN_DATA!O54="","MISSING",TRIM(IF(OR(03_CLEAN_DATA!O54&lt;$T$18,03_CLEAN_DATA!O54&gt;$U$18),"IQR ","")&amp;IF(ABS((03_CLEAN_DATA!O54-AVERAGE(03_CLEAN_DATA!$O$50:$O$65))/STDEV(03_CLEAN_DATA!$O$50:$O$65))&gt;$R$3," Z","")))</f>
        <v/>
      </c>
      <c r="N54" s="7" t="str">
        <f aca="false">IF(04_CALCULATIONS!E54="","MISSING",TRIM(IF(OR(04_CALCULATIONS!E54&lt;$T$19,04_CALCULATIONS!E54&gt;$U$19),"IQR ","")&amp;IF(ABS((04_CALCULATIONS!E54-AVERAGE(04_CALCULATIONS!$E$50:$E$65))/STDEV(04_CALCULATIONS!$E$50:$E$65))&gt;$R$3," Z","")))</f>
        <v/>
      </c>
      <c r="O54" s="7" t="str">
        <f aca="false">IF(03_CLEAN_DATA!L54="","MISSING",TRIM(IF(OR(03_CLEAN_DATA!L54&lt;$T$20,03_CLEAN_DATA!L54&gt;$U$20),"IQR ","")&amp;IF(ABS((03_CLEAN_DATA!L54-AVERAGE(03_CLEAN_DATA!$L$50:$L$65))/STDEV(03_CLEAN_DATA!$L$50:$L$65))&gt;$R$3," Z","")))</f>
        <v/>
      </c>
    </row>
    <row r="55" customFormat="false" ht="15" hidden="false" customHeight="false" outlineLevel="0" collapsed="false">
      <c r="A55" s="7" t="str">
        <f aca="false">03_CLEAN_DATA!A55</f>
        <v>Slovakia</v>
      </c>
      <c r="B55" s="7" t="str">
        <f aca="false">03_CLEAN_DATA!B55</f>
        <v>SVK</v>
      </c>
      <c r="C55" s="7" t="n">
        <f aca="false">03_CLEAN_DATA!C55</f>
        <v>2015</v>
      </c>
      <c r="D55" s="11" t="n">
        <f aca="false">IF(C55=2010,IF(OR(03_CLEAN_DATA!H55="",INDEX($R$8:$R$11,MATCH(B55,$Q$8:$Q$11,0))=""),"",(03_CLEAN_DATA!H55/INDEX($R$8:$R$11,MATCH(B55,$Q$8:$Q$11,0))-1)*100),IF(OR(03_CLEAN_DATA!H55="",03_CLEAN_DATA!H54=""),"",(03_CLEAN_DATA!H55/03_CLEAN_DATA!H54-1)*100))</f>
        <v>6.75241976116079</v>
      </c>
      <c r="E55" s="11" t="n">
        <f aca="false">IF(OR(03_CLEAN_DATA!G55="",03_CLEAN_DATA!I55="",03_CLEAN_DATA!D55=""),"",(03_CLEAN_DATA!G55-03_CLEAN_DATA!I55)/03_CLEAN_DATA!D55*100)</f>
        <v>1.96167634325372</v>
      </c>
      <c r="F55" s="11" t="n">
        <f aca="false">IF(OR(03_CLEAN_DATA!G55="",03_CLEAN_DATA!I55="",03_CLEAN_DATA!D55=""),"",(03_CLEAN_DATA!G55+03_CLEAN_DATA!I55)/03_CLEAN_DATA!D55*100)</f>
        <v>179.42602289503</v>
      </c>
      <c r="G55" s="12" t="n">
        <f aca="false">IF(OR(F55="",03_CLEAN_DATA!L55=""),"",F55-03_CLEAN_DATA!L55)</f>
        <v>0</v>
      </c>
      <c r="H55" s="13" t="n">
        <f aca="false">IF(03_CLEAN_DATA!H55="","",03_CLEAN_DATA!H55/SUMIFS(03_CLEAN_DATA!$H$2:$H$65,03_CLEAN_DATA!$B$2:$B$65,B55,03_CLEAN_DATA!$C$2:$C$65,$R$4)*100)</f>
        <v>139.719438511319</v>
      </c>
      <c r="I55" s="7" t="str">
        <f aca="false">IF(C55&lt;=2019,"Pre-COVID (2010-2019)",IF(C55&lt;=2021,"COVID (2020-2021)","Post-COVID (2022-2025)"))</f>
        <v>Pre-COVID (2010-2019)</v>
      </c>
      <c r="J55" s="7" t="str">
        <f aca="false">IF(04_CALCULATIONS!D55="","MISSING",TRIM(IF(OR(04_CALCULATIONS!D55&lt;$T$15,04_CALCULATIONS!D55&gt;$U$15),"IQR ","")&amp;IF(ABS((04_CALCULATIONS!D55-AVERAGE(04_CALCULATIONS!$D$50:$D$65))/STDEV(04_CALCULATIONS!$D$50:$D$65))&gt;$R$3," Z","")&amp;IF($C55=2010," Rebound","")))</f>
        <v/>
      </c>
      <c r="K55" s="7" t="str">
        <f aca="false">IF(03_CLEAN_DATA!E55="","MISSING",TRIM(IF(OR(03_CLEAN_DATA!E55&lt;$T$16,03_CLEAN_DATA!E55&gt;$U$16),"IQR ","")&amp;IF(ABS((03_CLEAN_DATA!E55-AVERAGE(03_CLEAN_DATA!$E$50:$E$65))/STDEV(03_CLEAN_DATA!$E$50:$E$65))&gt;$R$3," Z","")))</f>
        <v/>
      </c>
      <c r="L55" s="7" t="str">
        <f aca="false">IF(03_CLEAN_DATA!N55="","MISSING",TRIM(IF(OR(03_CLEAN_DATA!N55&lt;$T$17,03_CLEAN_DATA!N55&gt;$U$17),"IQR ","")&amp;IF(ABS((03_CLEAN_DATA!N55-AVERAGE(03_CLEAN_DATA!$N$50:$N$65))/STDEV(03_CLEAN_DATA!$N$50:$N$65))&gt;$R$3," Z","")))</f>
        <v/>
      </c>
      <c r="M55" s="7" t="str">
        <f aca="false">IF(03_CLEAN_DATA!O55="","MISSING",TRIM(IF(OR(03_CLEAN_DATA!O55&lt;$T$18,03_CLEAN_DATA!O55&gt;$U$18),"IQR ","")&amp;IF(ABS((03_CLEAN_DATA!O55-AVERAGE(03_CLEAN_DATA!$O$50:$O$65))/STDEV(03_CLEAN_DATA!$O$50:$O$65))&gt;$R$3," Z","")))</f>
        <v/>
      </c>
      <c r="N55" s="7" t="str">
        <f aca="false">IF(04_CALCULATIONS!E55="","MISSING",TRIM(IF(OR(04_CALCULATIONS!E55&lt;$T$19,04_CALCULATIONS!E55&gt;$U$19),"IQR ","")&amp;IF(ABS((04_CALCULATIONS!E55-AVERAGE(04_CALCULATIONS!$E$50:$E$65))/STDEV(04_CALCULATIONS!$E$50:$E$65))&gt;$R$3," Z","")))</f>
        <v/>
      </c>
      <c r="O55" s="7" t="str">
        <f aca="false">IF(03_CLEAN_DATA!L55="","MISSING",TRIM(IF(OR(03_CLEAN_DATA!L55&lt;$T$20,03_CLEAN_DATA!L55&gt;$U$20),"IQR ","")&amp;IF(ABS((03_CLEAN_DATA!L55-AVERAGE(03_CLEAN_DATA!$L$50:$L$65))/STDEV(03_CLEAN_DATA!$L$50:$L$65))&gt;$R$3," Z","")))</f>
        <v/>
      </c>
    </row>
    <row r="56" customFormat="false" ht="15" hidden="false" customHeight="false" outlineLevel="0" collapsed="false">
      <c r="A56" s="7" t="str">
        <f aca="false">03_CLEAN_DATA!A56</f>
        <v>Slovakia</v>
      </c>
      <c r="B56" s="7" t="str">
        <f aca="false">03_CLEAN_DATA!B56</f>
        <v>SVK</v>
      </c>
      <c r="C56" s="7" t="n">
        <f aca="false">03_CLEAN_DATA!C56</f>
        <v>2016</v>
      </c>
      <c r="D56" s="11" t="n">
        <f aca="false">IF(C56=2010,IF(OR(03_CLEAN_DATA!H56="",INDEX($R$8:$R$11,MATCH(B56,$Q$8:$Q$11,0))=""),"",(03_CLEAN_DATA!H56/INDEX($R$8:$R$11,MATCH(B56,$Q$8:$Q$11,0))-1)*100),IF(OR(03_CLEAN_DATA!H56="",03_CLEAN_DATA!H55=""),"",(03_CLEAN_DATA!H56/03_CLEAN_DATA!H55-1)*100))</f>
        <v>4.90247974739853</v>
      </c>
      <c r="E56" s="11" t="n">
        <f aca="false">IF(OR(03_CLEAN_DATA!G56="",03_CLEAN_DATA!I56="",03_CLEAN_DATA!D56=""),"",(03_CLEAN_DATA!G56-03_CLEAN_DATA!I56)/03_CLEAN_DATA!D56*100)</f>
        <v>1.86599442282259</v>
      </c>
      <c r="F56" s="11" t="n">
        <f aca="false">IF(OR(03_CLEAN_DATA!G56="",03_CLEAN_DATA!I56="",03_CLEAN_DATA!D56=""),"",(03_CLEAN_DATA!G56+03_CLEAN_DATA!I56)/03_CLEAN_DATA!D56*100)</f>
        <v>182.757379596201</v>
      </c>
      <c r="G56" s="12" t="n">
        <f aca="false">IF(OR(F56="",03_CLEAN_DATA!L56=""),"",F56-03_CLEAN_DATA!L56)</f>
        <v>0</v>
      </c>
      <c r="H56" s="13" t="n">
        <f aca="false">IF(03_CLEAN_DATA!H56="","",03_CLEAN_DATA!H56/SUMIFS(03_CLEAN_DATA!$H$2:$H$65,03_CLEAN_DATA!$B$2:$B$65,B56,03_CLEAN_DATA!$C$2:$C$65,$R$4)*100)</f>
        <v>146.569155687515</v>
      </c>
      <c r="I56" s="7" t="str">
        <f aca="false">IF(C56&lt;=2019,"Pre-COVID (2010-2019)",IF(C56&lt;=2021,"COVID (2020-2021)","Post-COVID (2022-2025)"))</f>
        <v>Pre-COVID (2010-2019)</v>
      </c>
      <c r="J56" s="7" t="str">
        <f aca="false">IF(04_CALCULATIONS!D56="","MISSING",TRIM(IF(OR(04_CALCULATIONS!D56&lt;$T$15,04_CALCULATIONS!D56&gt;$U$15),"IQR ","")&amp;IF(ABS((04_CALCULATIONS!D56-AVERAGE(04_CALCULATIONS!$D$50:$D$65))/STDEV(04_CALCULATIONS!$D$50:$D$65))&gt;$R$3," Z","")&amp;IF($C56=2010," Rebound","")))</f>
        <v/>
      </c>
      <c r="K56" s="7" t="str">
        <f aca="false">IF(03_CLEAN_DATA!E56="","MISSING",TRIM(IF(OR(03_CLEAN_DATA!E56&lt;$T$16,03_CLEAN_DATA!E56&gt;$U$16),"IQR ","")&amp;IF(ABS((03_CLEAN_DATA!E56-AVERAGE(03_CLEAN_DATA!$E$50:$E$65))/STDEV(03_CLEAN_DATA!$E$50:$E$65))&gt;$R$3," Z","")))</f>
        <v/>
      </c>
      <c r="L56" s="7" t="str">
        <f aca="false">IF(03_CLEAN_DATA!N56="","MISSING",TRIM(IF(OR(03_CLEAN_DATA!N56&lt;$T$17,03_CLEAN_DATA!N56&gt;$U$17),"IQR ","")&amp;IF(ABS((03_CLEAN_DATA!N56-AVERAGE(03_CLEAN_DATA!$N$50:$N$65))/STDEV(03_CLEAN_DATA!$N$50:$N$65))&gt;$R$3," Z","")))</f>
        <v/>
      </c>
      <c r="M56" s="7" t="str">
        <f aca="false">IF(03_CLEAN_DATA!O56="","MISSING",TRIM(IF(OR(03_CLEAN_DATA!O56&lt;$T$18,03_CLEAN_DATA!O56&gt;$U$18),"IQR ","")&amp;IF(ABS((03_CLEAN_DATA!O56-AVERAGE(03_CLEAN_DATA!$O$50:$O$65))/STDEV(03_CLEAN_DATA!$O$50:$O$65))&gt;$R$3," Z","")))</f>
        <v/>
      </c>
      <c r="N56" s="7" t="str">
        <f aca="false">IF(04_CALCULATIONS!E56="","MISSING",TRIM(IF(OR(04_CALCULATIONS!E56&lt;$T$19,04_CALCULATIONS!E56&gt;$U$19),"IQR ","")&amp;IF(ABS((04_CALCULATIONS!E56-AVERAGE(04_CALCULATIONS!$E$50:$E$65))/STDEV(04_CALCULATIONS!$E$50:$E$65))&gt;$R$3," Z","")))</f>
        <v/>
      </c>
      <c r="O56" s="7" t="str">
        <f aca="false">IF(03_CLEAN_DATA!L56="","MISSING",TRIM(IF(OR(03_CLEAN_DATA!L56&lt;$T$20,03_CLEAN_DATA!L56&gt;$U$20),"IQR ","")&amp;IF(ABS((03_CLEAN_DATA!L56-AVERAGE(03_CLEAN_DATA!$L$50:$L$65))/STDEV(03_CLEAN_DATA!$L$50:$L$65))&gt;$R$3," Z","")))</f>
        <v/>
      </c>
    </row>
    <row r="57" customFormat="false" ht="15" hidden="false" customHeight="false" outlineLevel="0" collapsed="false">
      <c r="A57" s="7" t="str">
        <f aca="false">03_CLEAN_DATA!A57</f>
        <v>Slovakia</v>
      </c>
      <c r="B57" s="7" t="str">
        <f aca="false">03_CLEAN_DATA!B57</f>
        <v>SVK</v>
      </c>
      <c r="C57" s="7" t="n">
        <f aca="false">03_CLEAN_DATA!C57</f>
        <v>2017</v>
      </c>
      <c r="D57" s="11" t="n">
        <f aca="false">IF(C57=2010,IF(OR(03_CLEAN_DATA!H57="",INDEX($R$8:$R$11,MATCH(B57,$Q$8:$Q$11,0))=""),"",(03_CLEAN_DATA!H57/INDEX($R$8:$R$11,MATCH(B57,$Q$8:$Q$11,0))-1)*100),IF(OR(03_CLEAN_DATA!H57="",03_CLEAN_DATA!H56=""),"",(03_CLEAN_DATA!H57/03_CLEAN_DATA!H56-1)*100))</f>
        <v>3.64169143263642</v>
      </c>
      <c r="E57" s="11" t="n">
        <f aca="false">IF(OR(03_CLEAN_DATA!G57="",03_CLEAN_DATA!I57="",03_CLEAN_DATA!D57=""),"",(03_CLEAN_DATA!G57-03_CLEAN_DATA!I57)/03_CLEAN_DATA!D57*100)</f>
        <v>1.26014634823268</v>
      </c>
      <c r="F57" s="11" t="n">
        <f aca="false">IF(OR(03_CLEAN_DATA!G57="",03_CLEAN_DATA!I57="",03_CLEAN_DATA!D57=""),"",(03_CLEAN_DATA!G57+03_CLEAN_DATA!I57)/03_CLEAN_DATA!D57*100)</f>
        <v>186.644687399549</v>
      </c>
      <c r="G57" s="12" t="n">
        <f aca="false">IF(OR(F57="",03_CLEAN_DATA!L57=""),"",F57-03_CLEAN_DATA!L57)</f>
        <v>0</v>
      </c>
      <c r="H57" s="13" t="n">
        <f aca="false">IF(03_CLEAN_DATA!H57="","",03_CLEAN_DATA!H57/SUMIFS(03_CLEAN_DATA!$H$2:$H$65,03_CLEAN_DATA!$B$2:$B$65,B57,03_CLEAN_DATA!$C$2:$C$65,$R$4)*100)</f>
        <v>151.906752073075</v>
      </c>
      <c r="I57" s="7" t="str">
        <f aca="false">IF(C57&lt;=2019,"Pre-COVID (2010-2019)",IF(C57&lt;=2021,"COVID (2020-2021)","Post-COVID (2022-2025)"))</f>
        <v>Pre-COVID (2010-2019)</v>
      </c>
      <c r="J57" s="7" t="str">
        <f aca="false">IF(04_CALCULATIONS!D57="","MISSING",TRIM(IF(OR(04_CALCULATIONS!D57&lt;$T$15,04_CALCULATIONS!D57&gt;$U$15),"IQR ","")&amp;IF(ABS((04_CALCULATIONS!D57-AVERAGE(04_CALCULATIONS!$D$50:$D$65))/STDEV(04_CALCULATIONS!$D$50:$D$65))&gt;$R$3," Z","")&amp;IF($C57=2010," Rebound","")))</f>
        <v/>
      </c>
      <c r="K57" s="7" t="str">
        <f aca="false">IF(03_CLEAN_DATA!E57="","MISSING",TRIM(IF(OR(03_CLEAN_DATA!E57&lt;$T$16,03_CLEAN_DATA!E57&gt;$U$16),"IQR ","")&amp;IF(ABS((03_CLEAN_DATA!E57-AVERAGE(03_CLEAN_DATA!$E$50:$E$65))/STDEV(03_CLEAN_DATA!$E$50:$E$65))&gt;$R$3," Z","")))</f>
        <v/>
      </c>
      <c r="L57" s="7" t="str">
        <f aca="false">IF(03_CLEAN_DATA!N57="","MISSING",TRIM(IF(OR(03_CLEAN_DATA!N57&lt;$T$17,03_CLEAN_DATA!N57&gt;$U$17),"IQR ","")&amp;IF(ABS((03_CLEAN_DATA!N57-AVERAGE(03_CLEAN_DATA!$N$50:$N$65))/STDEV(03_CLEAN_DATA!$N$50:$N$65))&gt;$R$3," Z","")))</f>
        <v/>
      </c>
      <c r="M57" s="7" t="str">
        <f aca="false">IF(03_CLEAN_DATA!O57="","MISSING",TRIM(IF(OR(03_CLEAN_DATA!O57&lt;$T$18,03_CLEAN_DATA!O57&gt;$U$18),"IQR ","")&amp;IF(ABS((03_CLEAN_DATA!O57-AVERAGE(03_CLEAN_DATA!$O$50:$O$65))/STDEV(03_CLEAN_DATA!$O$50:$O$65))&gt;$R$3," Z","")))</f>
        <v/>
      </c>
      <c r="N57" s="7" t="str">
        <f aca="false">IF(04_CALCULATIONS!E57="","MISSING",TRIM(IF(OR(04_CALCULATIONS!E57&lt;$T$19,04_CALCULATIONS!E57&gt;$U$19),"IQR ","")&amp;IF(ABS((04_CALCULATIONS!E57-AVERAGE(04_CALCULATIONS!$E$50:$E$65))/STDEV(04_CALCULATIONS!$E$50:$E$65))&gt;$R$3," Z","")))</f>
        <v/>
      </c>
      <c r="O57" s="7" t="str">
        <f aca="false">IF(03_CLEAN_DATA!L57="","MISSING",TRIM(IF(OR(03_CLEAN_DATA!L57&lt;$T$20,03_CLEAN_DATA!L57&gt;$U$20),"IQR ","")&amp;IF(ABS((03_CLEAN_DATA!L57-AVERAGE(03_CLEAN_DATA!$L$50:$L$65))/STDEV(03_CLEAN_DATA!$L$50:$L$65))&gt;$R$3," Z","")))</f>
        <v/>
      </c>
    </row>
    <row r="58" customFormat="false" ht="15" hidden="false" customHeight="false" outlineLevel="0" collapsed="false">
      <c r="A58" s="7" t="str">
        <f aca="false">03_CLEAN_DATA!A58</f>
        <v>Slovakia</v>
      </c>
      <c r="B58" s="7" t="str">
        <f aca="false">03_CLEAN_DATA!B58</f>
        <v>SVK</v>
      </c>
      <c r="C58" s="7" t="n">
        <f aca="false">03_CLEAN_DATA!C58</f>
        <v>2018</v>
      </c>
      <c r="D58" s="11" t="n">
        <f aca="false">IF(C58=2010,IF(OR(03_CLEAN_DATA!H58="",INDEX($R$8:$R$11,MATCH(B58,$Q$8:$Q$11,0))=""),"",(03_CLEAN_DATA!H58/INDEX($R$8:$R$11,MATCH(B58,$Q$8:$Q$11,0))-1)*100),IF(OR(03_CLEAN_DATA!H58="",03_CLEAN_DATA!H57=""),"",(03_CLEAN_DATA!H58/03_CLEAN_DATA!H57-1)*100))</f>
        <v>5.47642478511412</v>
      </c>
      <c r="E58" s="11" t="n">
        <f aca="false">IF(OR(03_CLEAN_DATA!G58="",03_CLEAN_DATA!I58="",03_CLEAN_DATA!D58=""),"",(03_CLEAN_DATA!G58-03_CLEAN_DATA!I58)/03_CLEAN_DATA!D58*100)</f>
        <v>1.12070059577742</v>
      </c>
      <c r="F58" s="11" t="n">
        <f aca="false">IF(OR(03_CLEAN_DATA!G58="",03_CLEAN_DATA!I58="",03_CLEAN_DATA!D58=""),"",(03_CLEAN_DATA!G58+03_CLEAN_DATA!I58)/03_CLEAN_DATA!D58*100)</f>
        <v>188.732964699496</v>
      </c>
      <c r="G58" s="12" t="n">
        <f aca="false">IF(OR(F58="",03_CLEAN_DATA!L58=""),"",F58-03_CLEAN_DATA!L58)</f>
        <v>0</v>
      </c>
      <c r="H58" s="13" t="n">
        <f aca="false">IF(03_CLEAN_DATA!H58="","",03_CLEAN_DATA!H58/SUMIFS(03_CLEAN_DATA!$H$2:$H$65,03_CLEAN_DATA!$B$2:$B$65,B58,03_CLEAN_DATA!$C$2:$C$65,$R$4)*100)</f>
        <v>160.225811093867</v>
      </c>
      <c r="I58" s="7" t="str">
        <f aca="false">IF(C58&lt;=2019,"Pre-COVID (2010-2019)",IF(C58&lt;=2021,"COVID (2020-2021)","Post-COVID (2022-2025)"))</f>
        <v>Pre-COVID (2010-2019)</v>
      </c>
      <c r="J58" s="7" t="str">
        <f aca="false">IF(04_CALCULATIONS!D58="","MISSING",TRIM(IF(OR(04_CALCULATIONS!D58&lt;$T$15,04_CALCULATIONS!D58&gt;$U$15),"IQR ","")&amp;IF(ABS((04_CALCULATIONS!D58-AVERAGE(04_CALCULATIONS!$D$50:$D$65))/STDEV(04_CALCULATIONS!$D$50:$D$65))&gt;$R$3," Z","")&amp;IF($C58=2010," Rebound","")))</f>
        <v/>
      </c>
      <c r="K58" s="7" t="str">
        <f aca="false">IF(03_CLEAN_DATA!E58="","MISSING",TRIM(IF(OR(03_CLEAN_DATA!E58&lt;$T$16,03_CLEAN_DATA!E58&gt;$U$16),"IQR ","")&amp;IF(ABS((03_CLEAN_DATA!E58-AVERAGE(03_CLEAN_DATA!$E$50:$E$65))/STDEV(03_CLEAN_DATA!$E$50:$E$65))&gt;$R$3," Z","")))</f>
        <v/>
      </c>
      <c r="L58" s="7" t="str">
        <f aca="false">IF(03_CLEAN_DATA!N58="","MISSING",TRIM(IF(OR(03_CLEAN_DATA!N58&lt;$T$17,03_CLEAN_DATA!N58&gt;$U$17),"IQR ","")&amp;IF(ABS((03_CLEAN_DATA!N58-AVERAGE(03_CLEAN_DATA!$N$50:$N$65))/STDEV(03_CLEAN_DATA!$N$50:$N$65))&gt;$R$3," Z","")))</f>
        <v/>
      </c>
      <c r="M58" s="7" t="str">
        <f aca="false">IF(03_CLEAN_DATA!O58="","MISSING",TRIM(IF(OR(03_CLEAN_DATA!O58&lt;$T$18,03_CLEAN_DATA!O58&gt;$U$18),"IQR ","")&amp;IF(ABS((03_CLEAN_DATA!O58-AVERAGE(03_CLEAN_DATA!$O$50:$O$65))/STDEV(03_CLEAN_DATA!$O$50:$O$65))&gt;$R$3," Z","")))</f>
        <v/>
      </c>
      <c r="N58" s="7" t="str">
        <f aca="false">IF(04_CALCULATIONS!E58="","MISSING",TRIM(IF(OR(04_CALCULATIONS!E58&lt;$T$19,04_CALCULATIONS!E58&gt;$U$19),"IQR ","")&amp;IF(ABS((04_CALCULATIONS!E58-AVERAGE(04_CALCULATIONS!$E$50:$E$65))/STDEV(04_CALCULATIONS!$E$50:$E$65))&gt;$R$3," Z","")))</f>
        <v/>
      </c>
      <c r="O58" s="7" t="str">
        <f aca="false">IF(03_CLEAN_DATA!L58="","MISSING",TRIM(IF(OR(03_CLEAN_DATA!L58&lt;$T$20,03_CLEAN_DATA!L58&gt;$U$20),"IQR ","")&amp;IF(ABS((03_CLEAN_DATA!L58-AVERAGE(03_CLEAN_DATA!$L$50:$L$65))/STDEV(03_CLEAN_DATA!$L$50:$L$65))&gt;$R$3," Z","")))</f>
        <v/>
      </c>
    </row>
    <row r="59" customFormat="false" ht="15" hidden="false" customHeight="false" outlineLevel="0" collapsed="false">
      <c r="A59" s="7" t="str">
        <f aca="false">03_CLEAN_DATA!A59</f>
        <v>Slovakia</v>
      </c>
      <c r="B59" s="7" t="str">
        <f aca="false">03_CLEAN_DATA!B59</f>
        <v>SVK</v>
      </c>
      <c r="C59" s="7" t="n">
        <f aca="false">03_CLEAN_DATA!C59</f>
        <v>2019</v>
      </c>
      <c r="D59" s="11" t="n">
        <f aca="false">IF(C59=2010,IF(OR(03_CLEAN_DATA!H59="",INDEX($R$8:$R$11,MATCH(B59,$Q$8:$Q$11,0))=""),"",(03_CLEAN_DATA!H59/INDEX($R$8:$R$11,MATCH(B59,$Q$8:$Q$11,0))-1)*100),IF(OR(03_CLEAN_DATA!H59="",03_CLEAN_DATA!H58=""),"",(03_CLEAN_DATA!H59/03_CLEAN_DATA!H58-1)*100))</f>
        <v>1.35655513267356</v>
      </c>
      <c r="E59" s="11" t="n">
        <f aca="false">IF(OR(03_CLEAN_DATA!G59="",03_CLEAN_DATA!I59="",03_CLEAN_DATA!D59=""),"",(03_CLEAN_DATA!G59-03_CLEAN_DATA!I59)/03_CLEAN_DATA!D59*100)</f>
        <v>-0.0344356069802966</v>
      </c>
      <c r="F59" s="11" t="n">
        <f aca="false">IF(OR(03_CLEAN_DATA!G59="",03_CLEAN_DATA!I59="",03_CLEAN_DATA!D59=""),"",(03_CLEAN_DATA!G59+03_CLEAN_DATA!I59)/03_CLEAN_DATA!D59*100)</f>
        <v>183.722608631236</v>
      </c>
      <c r="G59" s="12" t="n">
        <f aca="false">IF(OR(F59="",03_CLEAN_DATA!L59=""),"",F59-03_CLEAN_DATA!L59)</f>
        <v>0</v>
      </c>
      <c r="H59" s="13" t="n">
        <f aca="false">IF(03_CLEAN_DATA!H59="","",03_CLEAN_DATA!H59/SUMIFS(03_CLEAN_DATA!$H$2:$H$65,03_CLEAN_DATA!$B$2:$B$65,B59,03_CLEAN_DATA!$C$2:$C$65,$R$4)*100)</f>
        <v>162.399362558128</v>
      </c>
      <c r="I59" s="7" t="str">
        <f aca="false">IF(C59&lt;=2019,"Pre-COVID (2010-2019)",IF(C59&lt;=2021,"COVID (2020-2021)","Post-COVID (2022-2025)"))</f>
        <v>Pre-COVID (2010-2019)</v>
      </c>
      <c r="J59" s="7" t="str">
        <f aca="false">IF(04_CALCULATIONS!D59="","MISSING",TRIM(IF(OR(04_CALCULATIONS!D59&lt;$T$15,04_CALCULATIONS!D59&gt;$U$15),"IQR ","")&amp;IF(ABS((04_CALCULATIONS!D59-AVERAGE(04_CALCULATIONS!$D$50:$D$65))/STDEV(04_CALCULATIONS!$D$50:$D$65))&gt;$R$3," Z","")&amp;IF($C59=2010," Rebound","")))</f>
        <v/>
      </c>
      <c r="K59" s="7" t="str">
        <f aca="false">IF(03_CLEAN_DATA!E59="","MISSING",TRIM(IF(OR(03_CLEAN_DATA!E59&lt;$T$16,03_CLEAN_DATA!E59&gt;$U$16),"IQR ","")&amp;IF(ABS((03_CLEAN_DATA!E59-AVERAGE(03_CLEAN_DATA!$E$50:$E$65))/STDEV(03_CLEAN_DATA!$E$50:$E$65))&gt;$R$3," Z","")))</f>
        <v/>
      </c>
      <c r="L59" s="7" t="str">
        <f aca="false">IF(03_CLEAN_DATA!N59="","MISSING",TRIM(IF(OR(03_CLEAN_DATA!N59&lt;$T$17,03_CLEAN_DATA!N59&gt;$U$17),"IQR ","")&amp;IF(ABS((03_CLEAN_DATA!N59-AVERAGE(03_CLEAN_DATA!$N$50:$N$65))/STDEV(03_CLEAN_DATA!$N$50:$N$65))&gt;$R$3," Z","")))</f>
        <v/>
      </c>
      <c r="M59" s="7" t="str">
        <f aca="false">IF(03_CLEAN_DATA!O59="","MISSING",TRIM(IF(OR(03_CLEAN_DATA!O59&lt;$T$18,03_CLEAN_DATA!O59&gt;$U$18),"IQR ","")&amp;IF(ABS((03_CLEAN_DATA!O59-AVERAGE(03_CLEAN_DATA!$O$50:$O$65))/STDEV(03_CLEAN_DATA!$O$50:$O$65))&gt;$R$3," Z","")))</f>
        <v/>
      </c>
      <c r="N59" s="7" t="str">
        <f aca="false">IF(04_CALCULATIONS!E59="","MISSING",TRIM(IF(OR(04_CALCULATIONS!E59&lt;$T$19,04_CALCULATIONS!E59&gt;$U$19),"IQR ","")&amp;IF(ABS((04_CALCULATIONS!E59-AVERAGE(04_CALCULATIONS!$E$50:$E$65))/STDEV(04_CALCULATIONS!$E$50:$E$65))&gt;$R$3," Z","")))</f>
        <v/>
      </c>
      <c r="O59" s="7" t="str">
        <f aca="false">IF(03_CLEAN_DATA!L59="","MISSING",TRIM(IF(OR(03_CLEAN_DATA!L59&lt;$T$20,03_CLEAN_DATA!L59&gt;$U$20),"IQR ","")&amp;IF(ABS((03_CLEAN_DATA!L59-AVERAGE(03_CLEAN_DATA!$L$50:$L$65))/STDEV(03_CLEAN_DATA!$L$50:$L$65))&gt;$R$3," Z","")))</f>
        <v/>
      </c>
    </row>
    <row r="60" customFormat="false" ht="15" hidden="false" customHeight="false" outlineLevel="0" collapsed="false">
      <c r="A60" s="7" t="str">
        <f aca="false">03_CLEAN_DATA!A60</f>
        <v>Slovakia</v>
      </c>
      <c r="B60" s="7" t="str">
        <f aca="false">03_CLEAN_DATA!B60</f>
        <v>SVK</v>
      </c>
      <c r="C60" s="7" t="n">
        <f aca="false">03_CLEAN_DATA!C60</f>
        <v>2020</v>
      </c>
      <c r="D60" s="11" t="n">
        <f aca="false">IF(C60=2010,IF(OR(03_CLEAN_DATA!H60="",INDEX($R$8:$R$11,MATCH(B60,$Q$8:$Q$11,0))=""),"",(03_CLEAN_DATA!H60/INDEX($R$8:$R$11,MATCH(B60,$Q$8:$Q$11,0))-1)*100),IF(OR(03_CLEAN_DATA!H60="",03_CLEAN_DATA!H59=""),"",(03_CLEAN_DATA!H60/03_CLEAN_DATA!H59-1)*100))</f>
        <v>-6.35535306900036</v>
      </c>
      <c r="E60" s="11" t="n">
        <f aca="false">IF(OR(03_CLEAN_DATA!G60="",03_CLEAN_DATA!I60="",03_CLEAN_DATA!D60=""),"",(03_CLEAN_DATA!G60-03_CLEAN_DATA!I60)/03_CLEAN_DATA!D60*100)</f>
        <v>1.06251357670252</v>
      </c>
      <c r="F60" s="11" t="n">
        <f aca="false">IF(OR(03_CLEAN_DATA!G60="",03_CLEAN_DATA!I60="",03_CLEAN_DATA!D60=""),"",(03_CLEAN_DATA!G60+03_CLEAN_DATA!I60)/03_CLEAN_DATA!D60*100)</f>
        <v>167.534173320366</v>
      </c>
      <c r="G60" s="12" t="n">
        <f aca="false">IF(OR(F60="",03_CLEAN_DATA!L60=""),"",F60-03_CLEAN_DATA!L60)</f>
        <v>0</v>
      </c>
      <c r="H60" s="13" t="n">
        <f aca="false">IF(03_CLEAN_DATA!H60="","",03_CLEAN_DATA!H60/SUMIFS(03_CLEAN_DATA!$H$2:$H$65,03_CLEAN_DATA!$B$2:$B$65,B60,03_CLEAN_DATA!$C$2:$C$65,$R$4)*100)</f>
        <v>152.078309685753</v>
      </c>
      <c r="I60" s="7" t="str">
        <f aca="false">IF(C60&lt;=2019,"Pre-COVID (2010-2019)",IF(C60&lt;=2021,"COVID (2020-2021)","Post-COVID (2022-2025)"))</f>
        <v>COVID (2020-2021)</v>
      </c>
      <c r="J60" s="7" t="str">
        <f aca="false">IF(04_CALCULATIONS!D60="","MISSING",TRIM(IF(OR(04_CALCULATIONS!D60&lt;$T$15,04_CALCULATIONS!D60&gt;$U$15),"IQR ","")&amp;IF(ABS((04_CALCULATIONS!D60-AVERAGE(04_CALCULATIONS!$D$50:$D$65))/STDEV(04_CALCULATIONS!$D$50:$D$65))&gt;$R$3," Z","")&amp;IF($C60=2010," Rebound","")))</f>
        <v>IQR</v>
      </c>
      <c r="K60" s="7" t="str">
        <f aca="false">IF(03_CLEAN_DATA!E60="","MISSING",TRIM(IF(OR(03_CLEAN_DATA!E60&lt;$T$16,03_CLEAN_DATA!E60&gt;$U$16),"IQR ","")&amp;IF(ABS((03_CLEAN_DATA!E60-AVERAGE(03_CLEAN_DATA!$E$50:$E$65))/STDEV(03_CLEAN_DATA!$E$50:$E$65))&gt;$R$3," Z","")))</f>
        <v/>
      </c>
      <c r="L60" s="7" t="str">
        <f aca="false">IF(03_CLEAN_DATA!N60="","MISSING",TRIM(IF(OR(03_CLEAN_DATA!N60&lt;$T$17,03_CLEAN_DATA!N60&gt;$U$17),"IQR ","")&amp;IF(ABS((03_CLEAN_DATA!N60-AVERAGE(03_CLEAN_DATA!$N$50:$N$65))/STDEV(03_CLEAN_DATA!$N$50:$N$65))&gt;$R$3," Z","")))</f>
        <v/>
      </c>
      <c r="M60" s="7" t="str">
        <f aca="false">IF(03_CLEAN_DATA!O60="","MISSING",TRIM(IF(OR(03_CLEAN_DATA!O60&lt;$T$18,03_CLEAN_DATA!O60&gt;$U$18),"IQR ","")&amp;IF(ABS((03_CLEAN_DATA!O60-AVERAGE(03_CLEAN_DATA!$O$50:$O$65))/STDEV(03_CLEAN_DATA!$O$50:$O$65))&gt;$R$3," Z","")))</f>
        <v/>
      </c>
      <c r="N60" s="7" t="str">
        <f aca="false">IF(04_CALCULATIONS!E60="","MISSING",TRIM(IF(OR(04_CALCULATIONS!E60&lt;$T$19,04_CALCULATIONS!E60&gt;$U$19),"IQR ","")&amp;IF(ABS((04_CALCULATIONS!E60-AVERAGE(04_CALCULATIONS!$E$50:$E$65))/STDEV(04_CALCULATIONS!$E$50:$E$65))&gt;$R$3," Z","")))</f>
        <v/>
      </c>
      <c r="O60" s="7" t="str">
        <f aca="false">IF(03_CLEAN_DATA!L60="","MISSING",TRIM(IF(OR(03_CLEAN_DATA!L60&lt;$T$20,03_CLEAN_DATA!L60&gt;$U$20),"IQR ","")&amp;IF(ABS((03_CLEAN_DATA!L60-AVERAGE(03_CLEAN_DATA!$L$50:$L$65))/STDEV(03_CLEAN_DATA!$L$50:$L$65))&gt;$R$3," Z","")))</f>
        <v/>
      </c>
    </row>
    <row r="61" customFormat="false" ht="15" hidden="false" customHeight="false" outlineLevel="0" collapsed="false">
      <c r="A61" s="7" t="str">
        <f aca="false">03_CLEAN_DATA!A61</f>
        <v>Slovakia</v>
      </c>
      <c r="B61" s="7" t="str">
        <f aca="false">03_CLEAN_DATA!B61</f>
        <v>SVK</v>
      </c>
      <c r="C61" s="7" t="n">
        <f aca="false">03_CLEAN_DATA!C61</f>
        <v>2021</v>
      </c>
      <c r="D61" s="11" t="n">
        <f aca="false">IF(C61=2010,IF(OR(03_CLEAN_DATA!H61="",INDEX($R$8:$R$11,MATCH(B61,$Q$8:$Q$11,0))=""),"",(03_CLEAN_DATA!H61/INDEX($R$8:$R$11,MATCH(B61,$Q$8:$Q$11,0))-1)*100),IF(OR(03_CLEAN_DATA!H61="",03_CLEAN_DATA!H60=""),"",(03_CLEAN_DATA!H61/03_CLEAN_DATA!H60-1)*100))</f>
        <v>10.6610621875004</v>
      </c>
      <c r="E61" s="11" t="n">
        <f aca="false">IF(OR(03_CLEAN_DATA!G61="",03_CLEAN_DATA!I61="",03_CLEAN_DATA!D61=""),"",(03_CLEAN_DATA!G61-03_CLEAN_DATA!I61)/03_CLEAN_DATA!D61*100)</f>
        <v>-0.4557609668377</v>
      </c>
      <c r="F61" s="11" t="n">
        <f aca="false">IF(OR(03_CLEAN_DATA!G61="",03_CLEAN_DATA!I61="",03_CLEAN_DATA!D61=""),"",(03_CLEAN_DATA!G61+03_CLEAN_DATA!I61)/03_CLEAN_DATA!D61*100)</f>
        <v>181.979484485119</v>
      </c>
      <c r="G61" s="12" t="n">
        <f aca="false">IF(OR(F61="",03_CLEAN_DATA!L61=""),"",F61-03_CLEAN_DATA!L61)</f>
        <v>0</v>
      </c>
      <c r="H61" s="13" t="n">
        <f aca="false">IF(03_CLEAN_DATA!H61="","",03_CLEAN_DATA!H61/SUMIFS(03_CLEAN_DATA!$H$2:$H$65,03_CLEAN_DATA!$B$2:$B$65,B61,03_CLEAN_DATA!$C$2:$C$65,$R$4)*100)</f>
        <v>168.291472855051</v>
      </c>
      <c r="I61" s="7" t="str">
        <f aca="false">IF(C61&lt;=2019,"Pre-COVID (2010-2019)",IF(C61&lt;=2021,"COVID (2020-2021)","Post-COVID (2022-2025)"))</f>
        <v>COVID (2020-2021)</v>
      </c>
      <c r="J61" s="7" t="str">
        <f aca="false">IF(04_CALCULATIONS!D61="","MISSING",TRIM(IF(OR(04_CALCULATIONS!D61&lt;$T$15,04_CALCULATIONS!D61&gt;$U$15),"IQR ","")&amp;IF(ABS((04_CALCULATIONS!D61-AVERAGE(04_CALCULATIONS!$D$50:$D$65))/STDEV(04_CALCULATIONS!$D$50:$D$65))&gt;$R$3," Z","")&amp;IF($C61=2010," Rebound","")))</f>
        <v/>
      </c>
      <c r="K61" s="7" t="str">
        <f aca="false">IF(03_CLEAN_DATA!E61="","MISSING",TRIM(IF(OR(03_CLEAN_DATA!E61&lt;$T$16,03_CLEAN_DATA!E61&gt;$U$16),"IQR ","")&amp;IF(ABS((03_CLEAN_DATA!E61-AVERAGE(03_CLEAN_DATA!$E$50:$E$65))/STDEV(03_CLEAN_DATA!$E$50:$E$65))&gt;$R$3," Z","")))</f>
        <v/>
      </c>
      <c r="L61" s="7" t="str">
        <f aca="false">IF(03_CLEAN_DATA!N61="","MISSING",TRIM(IF(OR(03_CLEAN_DATA!N61&lt;$T$17,03_CLEAN_DATA!N61&gt;$U$17),"IQR ","")&amp;IF(ABS((03_CLEAN_DATA!N61-AVERAGE(03_CLEAN_DATA!$N$50:$N$65))/STDEV(03_CLEAN_DATA!$N$50:$N$65))&gt;$R$3," Z","")))</f>
        <v/>
      </c>
      <c r="M61" s="7" t="str">
        <f aca="false">IF(03_CLEAN_DATA!O61="","MISSING",TRIM(IF(OR(03_CLEAN_DATA!O61&lt;$T$18,03_CLEAN_DATA!O61&gt;$U$18),"IQR ","")&amp;IF(ABS((03_CLEAN_DATA!O61-AVERAGE(03_CLEAN_DATA!$O$50:$O$65))/STDEV(03_CLEAN_DATA!$O$50:$O$65))&gt;$R$3," Z","")))</f>
        <v/>
      </c>
      <c r="N61" s="7" t="str">
        <f aca="false">IF(04_CALCULATIONS!E61="","MISSING",TRIM(IF(OR(04_CALCULATIONS!E61&lt;$T$19,04_CALCULATIONS!E61&gt;$U$19),"IQR ","")&amp;IF(ABS((04_CALCULATIONS!E61-AVERAGE(04_CALCULATIONS!$E$50:$E$65))/STDEV(04_CALCULATIONS!$E$50:$E$65))&gt;$R$3," Z","")))</f>
        <v/>
      </c>
      <c r="O61" s="7" t="str">
        <f aca="false">IF(03_CLEAN_DATA!L61="","MISSING",TRIM(IF(OR(03_CLEAN_DATA!L61&lt;$T$20,03_CLEAN_DATA!L61&gt;$U$20),"IQR ","")&amp;IF(ABS((03_CLEAN_DATA!L61-AVERAGE(03_CLEAN_DATA!$L$50:$L$65))/STDEV(03_CLEAN_DATA!$L$50:$L$65))&gt;$R$3," Z","")))</f>
        <v/>
      </c>
    </row>
    <row r="62" customFormat="false" ht="15" hidden="false" customHeight="false" outlineLevel="0" collapsed="false">
      <c r="A62" s="7" t="str">
        <f aca="false">03_CLEAN_DATA!A62</f>
        <v>Slovakia</v>
      </c>
      <c r="B62" s="7" t="str">
        <f aca="false">03_CLEAN_DATA!B62</f>
        <v>SVK</v>
      </c>
      <c r="C62" s="7" t="n">
        <f aca="false">03_CLEAN_DATA!C62</f>
        <v>2022</v>
      </c>
      <c r="D62" s="11" t="n">
        <f aca="false">IF(C62=2010,IF(OR(03_CLEAN_DATA!H62="",INDEX($R$8:$R$11,MATCH(B62,$Q$8:$Q$11,0))=""),"",(03_CLEAN_DATA!H62/INDEX($R$8:$R$11,MATCH(B62,$Q$8:$Q$11,0))-1)*100),IF(OR(03_CLEAN_DATA!H62="",03_CLEAN_DATA!H61=""),"",(03_CLEAN_DATA!H62/03_CLEAN_DATA!H61-1)*100))</f>
        <v>2.76875182987879</v>
      </c>
      <c r="E62" s="11" t="n">
        <f aca="false">IF(OR(03_CLEAN_DATA!G62="",03_CLEAN_DATA!I62="",03_CLEAN_DATA!D62=""),"",(03_CLEAN_DATA!G62-03_CLEAN_DATA!I62)/03_CLEAN_DATA!D62*100)</f>
        <v>-5.92133174685011</v>
      </c>
      <c r="F62" s="11" t="n">
        <f aca="false">IF(OR(03_CLEAN_DATA!G62="",03_CLEAN_DATA!I62="",03_CLEAN_DATA!D62=""),"",(03_CLEAN_DATA!G62+03_CLEAN_DATA!I62)/03_CLEAN_DATA!D62*100)</f>
        <v>204.05631853115</v>
      </c>
      <c r="G62" s="12" t="n">
        <f aca="false">IF(OR(F62="",03_CLEAN_DATA!L62=""),"",F62-03_CLEAN_DATA!L62)</f>
        <v>0</v>
      </c>
      <c r="H62" s="13" t="n">
        <f aca="false">IF(03_CLEAN_DATA!H62="","",03_CLEAN_DATA!H62/SUMIFS(03_CLEAN_DATA!$H$2:$H$65,03_CLEAN_DATA!$B$2:$B$65,B62,03_CLEAN_DATA!$C$2:$C$65,$R$4)*100)</f>
        <v>172.951046089255</v>
      </c>
      <c r="I62" s="7" t="str">
        <f aca="false">IF(C62&lt;=2019,"Pre-COVID (2010-2019)",IF(C62&lt;=2021,"COVID (2020-2021)","Post-COVID (2022-2025)"))</f>
        <v>Post-COVID (2022-2025)</v>
      </c>
      <c r="J62" s="7" t="str">
        <f aca="false">IF(04_CALCULATIONS!D62="","MISSING",TRIM(IF(OR(04_CALCULATIONS!D62&lt;$T$15,04_CALCULATIONS!D62&gt;$U$15),"IQR ","")&amp;IF(ABS((04_CALCULATIONS!D62-AVERAGE(04_CALCULATIONS!$D$50:$D$65))/STDEV(04_CALCULATIONS!$D$50:$D$65))&gt;$R$3," Z","")&amp;IF($C62=2010," Rebound","")))</f>
        <v/>
      </c>
      <c r="K62" s="7" t="str">
        <f aca="false">IF(03_CLEAN_DATA!E62="","MISSING",TRIM(IF(OR(03_CLEAN_DATA!E62&lt;$T$16,03_CLEAN_DATA!E62&gt;$U$16),"IQR ","")&amp;IF(ABS((03_CLEAN_DATA!E62-AVERAGE(03_CLEAN_DATA!$E$50:$E$65))/STDEV(03_CLEAN_DATA!$E$50:$E$65))&gt;$R$3," Z","")))</f>
        <v/>
      </c>
      <c r="L62" s="7" t="str">
        <f aca="false">IF(03_CLEAN_DATA!N62="","MISSING",TRIM(IF(OR(03_CLEAN_DATA!N62&lt;$T$17,03_CLEAN_DATA!N62&gt;$U$17),"IQR ","")&amp;IF(ABS((03_CLEAN_DATA!N62-AVERAGE(03_CLEAN_DATA!$N$50:$N$65))/STDEV(03_CLEAN_DATA!$N$50:$N$65))&gt;$R$3," Z","")))</f>
        <v/>
      </c>
      <c r="M62" s="7" t="str">
        <f aca="false">IF(03_CLEAN_DATA!O62="","MISSING",TRIM(IF(OR(03_CLEAN_DATA!O62&lt;$T$18,03_CLEAN_DATA!O62&gt;$U$18),"IQR ","")&amp;IF(ABS((03_CLEAN_DATA!O62-AVERAGE(03_CLEAN_DATA!$O$50:$O$65))/STDEV(03_CLEAN_DATA!$O$50:$O$65))&gt;$R$3," Z","")))</f>
        <v/>
      </c>
      <c r="N62" s="7" t="str">
        <f aca="false">IF(04_CALCULATIONS!E62="","MISSING",TRIM(IF(OR(04_CALCULATIONS!E62&lt;$T$19,04_CALCULATIONS!E62&gt;$U$19),"IQR ","")&amp;IF(ABS((04_CALCULATIONS!E62-AVERAGE(04_CALCULATIONS!$E$50:$E$65))/STDEV(04_CALCULATIONS!$E$50:$E$65))&gt;$R$3," Z","")))</f>
        <v>IQR Z</v>
      </c>
      <c r="O62" s="7" t="str">
        <f aca="false">IF(03_CLEAN_DATA!L62="","MISSING",TRIM(IF(OR(03_CLEAN_DATA!L62&lt;$T$20,03_CLEAN_DATA!L62&gt;$U$20),"IQR ","")&amp;IF(ABS((03_CLEAN_DATA!L62-AVERAGE(03_CLEAN_DATA!$L$50:$L$65))/STDEV(03_CLEAN_DATA!$L$50:$L$65))&gt;$R$3," Z","")))</f>
        <v/>
      </c>
    </row>
    <row r="63" customFormat="false" ht="15" hidden="false" customHeight="false" outlineLevel="0" collapsed="false">
      <c r="A63" s="7" t="str">
        <f aca="false">03_CLEAN_DATA!A63</f>
        <v>Slovakia</v>
      </c>
      <c r="B63" s="7" t="str">
        <f aca="false">03_CLEAN_DATA!B63</f>
        <v>SVK</v>
      </c>
      <c r="C63" s="7" t="n">
        <f aca="false">03_CLEAN_DATA!C63</f>
        <v>2023</v>
      </c>
      <c r="D63" s="11" t="n">
        <f aca="false">IF(C63=2010,IF(OR(03_CLEAN_DATA!H63="",INDEX($R$8:$R$11,MATCH(B63,$Q$8:$Q$11,0))=""),"",(03_CLEAN_DATA!H63/INDEX($R$8:$R$11,MATCH(B63,$Q$8:$Q$11,0))-1)*100),IF(OR(03_CLEAN_DATA!H63="",03_CLEAN_DATA!H62=""),"",(03_CLEAN_DATA!H63/03_CLEAN_DATA!H62-1)*100))</f>
        <v>-0.67278952020482</v>
      </c>
      <c r="E63" s="11" t="n">
        <f aca="false">IF(OR(03_CLEAN_DATA!G63="",03_CLEAN_DATA!I63="",03_CLEAN_DATA!D63=""),"",(03_CLEAN_DATA!G63-03_CLEAN_DATA!I63)/03_CLEAN_DATA!D63*100)</f>
        <v>1.5962399085669</v>
      </c>
      <c r="F63" s="11" t="n">
        <f aca="false">IF(OR(03_CLEAN_DATA!G63="",03_CLEAN_DATA!I63="",03_CLEAN_DATA!D63=""),"",(03_CLEAN_DATA!G63+03_CLEAN_DATA!I63)/03_CLEAN_DATA!D63*100)</f>
        <v>181.390872356449</v>
      </c>
      <c r="G63" s="12" t="n">
        <f aca="false">IF(OR(F63="",03_CLEAN_DATA!L63=""),"",F63-03_CLEAN_DATA!L63)</f>
        <v>0</v>
      </c>
      <c r="H63" s="13" t="n">
        <f aca="false">IF(03_CLEAN_DATA!H63="","",03_CLEAN_DATA!H63/SUMIFS(03_CLEAN_DATA!$H$2:$H$65,03_CLEAN_DATA!$B$2:$B$65,B63,03_CLEAN_DATA!$C$2:$C$65,$R$4)*100)</f>
        <v>171.787449576082</v>
      </c>
      <c r="I63" s="7" t="str">
        <f aca="false">IF(C63&lt;=2019,"Pre-COVID (2010-2019)",IF(C63&lt;=2021,"COVID (2020-2021)","Post-COVID (2022-2025)"))</f>
        <v>Post-COVID (2022-2025)</v>
      </c>
      <c r="J63" s="7" t="str">
        <f aca="false">IF(04_CALCULATIONS!D63="","MISSING",TRIM(IF(OR(04_CALCULATIONS!D63&lt;$T$15,04_CALCULATIONS!D63&gt;$U$15),"IQR ","")&amp;IF(ABS((04_CALCULATIONS!D63-AVERAGE(04_CALCULATIONS!$D$50:$D$65))/STDEV(04_CALCULATIONS!$D$50:$D$65))&gt;$R$3," Z","")&amp;IF($C63=2010," Rebound","")))</f>
        <v/>
      </c>
      <c r="K63" s="7" t="str">
        <f aca="false">IF(03_CLEAN_DATA!E63="","MISSING",TRIM(IF(OR(03_CLEAN_DATA!E63&lt;$T$16,03_CLEAN_DATA!E63&gt;$U$16),"IQR ","")&amp;IF(ABS((03_CLEAN_DATA!E63-AVERAGE(03_CLEAN_DATA!$E$50:$E$65))/STDEV(03_CLEAN_DATA!$E$50:$E$65))&gt;$R$3," Z","")))</f>
        <v/>
      </c>
      <c r="L63" s="7" t="str">
        <f aca="false">IF(03_CLEAN_DATA!N63="","MISSING",TRIM(IF(OR(03_CLEAN_DATA!N63&lt;$T$17,03_CLEAN_DATA!N63&gt;$U$17),"IQR ","")&amp;IF(ABS((03_CLEAN_DATA!N63-AVERAGE(03_CLEAN_DATA!$N$50:$N$65))/STDEV(03_CLEAN_DATA!$N$50:$N$65))&gt;$R$3," Z","")))</f>
        <v/>
      </c>
      <c r="M63" s="7" t="str">
        <f aca="false">IF(03_CLEAN_DATA!O63="","MISSING",TRIM(IF(OR(03_CLEAN_DATA!O63&lt;$T$18,03_CLEAN_DATA!O63&gt;$U$18),"IQR ","")&amp;IF(ABS((03_CLEAN_DATA!O63-AVERAGE(03_CLEAN_DATA!$O$50:$O$65))/STDEV(03_CLEAN_DATA!$O$50:$O$65))&gt;$R$3," Z","")))</f>
        <v/>
      </c>
      <c r="N63" s="7" t="str">
        <f aca="false">IF(04_CALCULATIONS!E63="","MISSING",TRIM(IF(OR(04_CALCULATIONS!E63&lt;$T$19,04_CALCULATIONS!E63&gt;$U$19),"IQR ","")&amp;IF(ABS((04_CALCULATIONS!E63-AVERAGE(04_CALCULATIONS!$E$50:$E$65))/STDEV(04_CALCULATIONS!$E$50:$E$65))&gt;$R$3," Z","")))</f>
        <v/>
      </c>
      <c r="O63" s="7" t="str">
        <f aca="false">IF(03_CLEAN_DATA!L63="","MISSING",TRIM(IF(OR(03_CLEAN_DATA!L63&lt;$T$20,03_CLEAN_DATA!L63&gt;$U$20),"IQR ","")&amp;IF(ABS((03_CLEAN_DATA!L63-AVERAGE(03_CLEAN_DATA!$L$50:$L$65))/STDEV(03_CLEAN_DATA!$L$50:$L$65))&gt;$R$3," Z","")))</f>
        <v/>
      </c>
    </row>
    <row r="64" customFormat="false" ht="15" hidden="false" customHeight="false" outlineLevel="0" collapsed="false">
      <c r="A64" s="7" t="str">
        <f aca="false">03_CLEAN_DATA!A64</f>
        <v>Slovakia</v>
      </c>
      <c r="B64" s="7" t="str">
        <f aca="false">03_CLEAN_DATA!B64</f>
        <v>SVK</v>
      </c>
      <c r="C64" s="7" t="n">
        <f aca="false">03_CLEAN_DATA!C64</f>
        <v>2024</v>
      </c>
      <c r="D64" s="11" t="n">
        <f aca="false">IF(C64=2010,IF(OR(03_CLEAN_DATA!H64="",INDEX($R$8:$R$11,MATCH(B64,$Q$8:$Q$11,0))=""),"",(03_CLEAN_DATA!H64/INDEX($R$8:$R$11,MATCH(B64,$Q$8:$Q$11,0))-1)*100),IF(OR(03_CLEAN_DATA!H64="",03_CLEAN_DATA!H63=""),"",(03_CLEAN_DATA!H64/03_CLEAN_DATA!H63-1)*100))</f>
        <v>0.0224049023346495</v>
      </c>
      <c r="E64" s="11" t="n">
        <f aca="false">IF(OR(03_CLEAN_DATA!G64="",03_CLEAN_DATA!I64="",03_CLEAN_DATA!D64=""),"",(03_CLEAN_DATA!G64-03_CLEAN_DATA!I64)/03_CLEAN_DATA!D64*100)</f>
        <v>-0.245802239379225</v>
      </c>
      <c r="F64" s="11" t="n">
        <f aca="false">IF(OR(03_CLEAN_DATA!G64="",03_CLEAN_DATA!I64="",03_CLEAN_DATA!D64=""),"",(03_CLEAN_DATA!G64+03_CLEAN_DATA!I64)/03_CLEAN_DATA!D64*100)</f>
        <v>171.212800151635</v>
      </c>
      <c r="G64" s="12" t="n">
        <f aca="false">IF(OR(F64="",03_CLEAN_DATA!L64=""),"",F64-03_CLEAN_DATA!L64)</f>
        <v>0</v>
      </c>
      <c r="H64" s="13" t="n">
        <f aca="false">IF(03_CLEAN_DATA!H64="","",03_CLEAN_DATA!H64/SUMIFS(03_CLEAN_DATA!$H$2:$H$65,03_CLEAN_DATA!$B$2:$B$65,B64,03_CLEAN_DATA!$C$2:$C$65,$R$4)*100)</f>
        <v>171.825938386383</v>
      </c>
      <c r="I64" s="7" t="str">
        <f aca="false">IF(C64&lt;=2019,"Pre-COVID (2010-2019)",IF(C64&lt;=2021,"COVID (2020-2021)","Post-COVID (2022-2025)"))</f>
        <v>Post-COVID (2022-2025)</v>
      </c>
      <c r="J64" s="7" t="str">
        <f aca="false">IF(04_CALCULATIONS!D64="","MISSING",TRIM(IF(OR(04_CALCULATIONS!D64&lt;$T$15,04_CALCULATIONS!D64&gt;$U$15),"IQR ","")&amp;IF(ABS((04_CALCULATIONS!D64-AVERAGE(04_CALCULATIONS!$D$50:$D$65))/STDEV(04_CALCULATIONS!$D$50:$D$65))&gt;$R$3," Z","")&amp;IF($C64=2010," Rebound","")))</f>
        <v/>
      </c>
      <c r="K64" s="7" t="str">
        <f aca="false">IF(03_CLEAN_DATA!E64="","MISSING",TRIM(IF(OR(03_CLEAN_DATA!E64&lt;$T$16,03_CLEAN_DATA!E64&gt;$U$16),"IQR ","")&amp;IF(ABS((03_CLEAN_DATA!E64-AVERAGE(03_CLEAN_DATA!$E$50:$E$65))/STDEV(03_CLEAN_DATA!$E$50:$E$65))&gt;$R$3," Z","")))</f>
        <v/>
      </c>
      <c r="L64" s="7" t="str">
        <f aca="false">IF(03_CLEAN_DATA!N64="","MISSING",TRIM(IF(OR(03_CLEAN_DATA!N64&lt;$T$17,03_CLEAN_DATA!N64&gt;$U$17),"IQR ","")&amp;IF(ABS((03_CLEAN_DATA!N64-AVERAGE(03_CLEAN_DATA!$N$50:$N$65))/STDEV(03_CLEAN_DATA!$N$50:$N$65))&gt;$R$3," Z","")))</f>
        <v/>
      </c>
      <c r="M64" s="7" t="str">
        <f aca="false">IF(03_CLEAN_DATA!O64="","MISSING",TRIM(IF(OR(03_CLEAN_DATA!O64&lt;$T$18,03_CLEAN_DATA!O64&gt;$U$18),"IQR ","")&amp;IF(ABS((03_CLEAN_DATA!O64-AVERAGE(03_CLEAN_DATA!$O$50:$O$65))/STDEV(03_CLEAN_DATA!$O$50:$O$65))&gt;$R$3," Z","")))</f>
        <v/>
      </c>
      <c r="N64" s="7" t="str">
        <f aca="false">IF(04_CALCULATIONS!E64="","MISSING",TRIM(IF(OR(04_CALCULATIONS!E64&lt;$T$19,04_CALCULATIONS!E64&gt;$U$19),"IQR ","")&amp;IF(ABS((04_CALCULATIONS!E64-AVERAGE(04_CALCULATIONS!$E$50:$E$65))/STDEV(04_CALCULATIONS!$E$50:$E$65))&gt;$R$3," Z","")))</f>
        <v/>
      </c>
      <c r="O64" s="7" t="str">
        <f aca="false">IF(03_CLEAN_DATA!L64="","MISSING",TRIM(IF(OR(03_CLEAN_DATA!L64&lt;$T$20,03_CLEAN_DATA!L64&gt;$U$20),"IQR ","")&amp;IF(ABS((03_CLEAN_DATA!L64-AVERAGE(03_CLEAN_DATA!$L$50:$L$65))/STDEV(03_CLEAN_DATA!$L$50:$L$65))&gt;$R$3," Z","")))</f>
        <v/>
      </c>
    </row>
    <row r="65" customFormat="false" ht="15" hidden="false" customHeight="false" outlineLevel="0" collapsed="false">
      <c r="A65" s="7" t="str">
        <f aca="false">03_CLEAN_DATA!A65</f>
        <v>Slovakia</v>
      </c>
      <c r="B65" s="7" t="str">
        <f aca="false">03_CLEAN_DATA!B65</f>
        <v>SVK</v>
      </c>
      <c r="C65" s="7" t="n">
        <f aca="false">03_CLEAN_DATA!C65</f>
        <v>2025</v>
      </c>
      <c r="D65" s="11" t="n">
        <f aca="false">IF(C65=2010,IF(OR(03_CLEAN_DATA!H65="",INDEX($R$8:$R$11,MATCH(B65,$Q$8:$Q$11,0))=""),"",(03_CLEAN_DATA!H65/INDEX($R$8:$R$11,MATCH(B65,$Q$8:$Q$11,0))-1)*100),IF(OR(03_CLEAN_DATA!H65="",03_CLEAN_DATA!H64=""),"",(03_CLEAN_DATA!H65/03_CLEAN_DATA!H64-1)*100))</f>
        <v>3.98274673533641</v>
      </c>
      <c r="E65" s="11" t="n">
        <f aca="false">IF(OR(03_CLEAN_DATA!G65="",03_CLEAN_DATA!I65="",03_CLEAN_DATA!D65=""),"",(03_CLEAN_DATA!G65-03_CLEAN_DATA!I65)/03_CLEAN_DATA!D65*100)</f>
        <v>-0.15323758127642</v>
      </c>
      <c r="F65" s="11" t="n">
        <f aca="false">IF(OR(03_CLEAN_DATA!G65="",03_CLEAN_DATA!I65="",03_CLEAN_DATA!D65=""),"",(03_CLEAN_DATA!G65+03_CLEAN_DATA!I65)/03_CLEAN_DATA!D65*100)</f>
        <v>170.342496403332</v>
      </c>
      <c r="G65" s="12" t="n">
        <f aca="false">IF(OR(F65="",03_CLEAN_DATA!L65=""),"",F65-03_CLEAN_DATA!L65)</f>
        <v>8.81072992342524E-013</v>
      </c>
      <c r="H65" s="13" t="n">
        <f aca="false">IF(03_CLEAN_DATA!H65="","",03_CLEAN_DATA!H65/SUMIFS(03_CLEAN_DATA!$H$2:$H$65,03_CLEAN_DATA!$B$2:$B$65,B65,03_CLEAN_DATA!$C$2:$C$65,$R$4)*100)</f>
        <v>178.669330337927</v>
      </c>
      <c r="I65" s="7" t="str">
        <f aca="false">IF(C65&lt;=2019,"Pre-COVID (2010-2019)",IF(C65&lt;=2021,"COVID (2020-2021)","Post-COVID (2022-2025)"))</f>
        <v>Post-COVID (2022-2025)</v>
      </c>
      <c r="J65" s="7" t="str">
        <f aca="false">IF(04_CALCULATIONS!D65="","MISSING",TRIM(IF(OR(04_CALCULATIONS!D65&lt;$T$15,04_CALCULATIONS!D65&gt;$U$15),"IQR ","")&amp;IF(ABS((04_CALCULATIONS!D65-AVERAGE(04_CALCULATIONS!$D$50:$D$65))/STDEV(04_CALCULATIONS!$D$50:$D$65))&gt;$R$3," Z","")&amp;IF($C65=2010," Rebound","")))</f>
        <v/>
      </c>
      <c r="K65" s="7" t="str">
        <f aca="false">IF(03_CLEAN_DATA!E65="","MISSING",TRIM(IF(OR(03_CLEAN_DATA!E65&lt;$T$16,03_CLEAN_DATA!E65&gt;$U$16),"IQR ","")&amp;IF(ABS((03_CLEAN_DATA!E65-AVERAGE(03_CLEAN_DATA!$E$50:$E$65))/STDEV(03_CLEAN_DATA!$E$50:$E$65))&gt;$R$3," Z","")))</f>
        <v/>
      </c>
      <c r="L65" s="7" t="str">
        <f aca="false">IF(03_CLEAN_DATA!N65="","MISSING",TRIM(IF(OR(03_CLEAN_DATA!N65&lt;$T$17,03_CLEAN_DATA!N65&gt;$U$17),"IQR ","")&amp;IF(ABS((03_CLEAN_DATA!N65-AVERAGE(03_CLEAN_DATA!$N$50:$N$65))/STDEV(03_CLEAN_DATA!$N$50:$N$65))&gt;$R$3," Z","")))</f>
        <v/>
      </c>
      <c r="M65" s="7" t="str">
        <f aca="false">IF(03_CLEAN_DATA!O65="","MISSING",TRIM(IF(OR(03_CLEAN_DATA!O65&lt;$T$18,03_CLEAN_DATA!O65&gt;$U$18),"IQR ","")&amp;IF(ABS((03_CLEAN_DATA!O65-AVERAGE(03_CLEAN_DATA!$O$50:$O$65))/STDEV(03_CLEAN_DATA!$O$50:$O$65))&gt;$R$3," Z","")))</f>
        <v/>
      </c>
      <c r="N65" s="7" t="str">
        <f aca="false">IF(04_CALCULATIONS!E65="","MISSING",TRIM(IF(OR(04_CALCULATIONS!E65&lt;$T$19,04_CALCULATIONS!E65&gt;$U$19),"IQR ","")&amp;IF(ABS((04_CALCULATIONS!E65-AVERAGE(04_CALCULATIONS!$E$50:$E$65))/STDEV(04_CALCULATIONS!$E$50:$E$65))&gt;$R$3," Z","")))</f>
        <v/>
      </c>
      <c r="O65" s="7" t="str">
        <f aca="false">IF(03_CLEAN_DATA!L65="","MISSING",TRIM(IF(OR(03_CLEAN_DATA!L65&lt;$T$20,03_CLEAN_DATA!L65&gt;$U$20),"IQR ","")&amp;IF(ABS((03_CLEAN_DATA!L65-AVERAGE(03_CLEAN_DATA!$L$50:$L$65))/STDEV(03_CLEAN_DATA!$L$50:$L$65))&gt;$R$3," Z","")))</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0" min="12" style="0" width="13"/>
  </cols>
  <sheetData>
    <row r="1" customFormat="false" ht="17.35" hidden="false" customHeight="false" outlineLevel="0" collapsed="false">
      <c r="A1" s="1" t="s">
        <v>173</v>
      </c>
    </row>
    <row r="2" customFormat="false" ht="39.75" hidden="false" customHeight="true" outlineLevel="0" collapsed="false">
      <c r="A2" s="15" t="s">
        <v>174</v>
      </c>
      <c r="B2" s="15"/>
      <c r="C2" s="15"/>
      <c r="D2" s="15"/>
      <c r="E2" s="15"/>
      <c r="F2" s="15"/>
      <c r="G2" s="15"/>
      <c r="H2" s="15"/>
      <c r="I2" s="15"/>
      <c r="J2" s="15"/>
      <c r="K2" s="15"/>
      <c r="L2" s="15"/>
      <c r="M2" s="15"/>
      <c r="N2" s="15"/>
      <c r="O2" s="15"/>
      <c r="P2" s="15"/>
      <c r="Q2" s="15"/>
      <c r="R2" s="15"/>
      <c r="S2" s="15"/>
      <c r="T2" s="15"/>
    </row>
    <row r="4" customFormat="false" ht="15" hidden="false" customHeight="false" outlineLevel="0" collapsed="false">
      <c r="A4" s="16" t="s">
        <v>175</v>
      </c>
      <c r="L4" s="16" t="s">
        <v>176</v>
      </c>
    </row>
    <row r="5" customFormat="false" ht="15" hidden="false" customHeight="false" outlineLevel="0" collapsed="false">
      <c r="L5" s="2" t="s">
        <v>177</v>
      </c>
    </row>
    <row r="6" customFormat="false" ht="64.5" hidden="false" customHeight="true" outlineLevel="0" collapsed="false">
      <c r="L6" s="17" t="s">
        <v>178</v>
      </c>
      <c r="M6" s="17"/>
      <c r="N6" s="17"/>
      <c r="O6" s="17"/>
      <c r="P6" s="17"/>
      <c r="Q6" s="17"/>
      <c r="R6" s="17"/>
      <c r="S6" s="17"/>
      <c r="T6" s="17"/>
    </row>
    <row r="7" customFormat="false" ht="15" hidden="false" customHeight="false" outlineLevel="0" collapsed="false">
      <c r="L7" s="2" t="s">
        <v>179</v>
      </c>
    </row>
    <row r="8" customFormat="false" ht="39" hidden="false" customHeight="true" outlineLevel="0" collapsed="false">
      <c r="L8" s="17" t="s">
        <v>180</v>
      </c>
      <c r="M8" s="17"/>
      <c r="N8" s="17"/>
      <c r="O8" s="17"/>
      <c r="P8" s="17"/>
      <c r="Q8" s="17"/>
      <c r="R8" s="17"/>
      <c r="S8" s="17"/>
      <c r="T8" s="17"/>
    </row>
    <row r="9" customFormat="false" ht="15" hidden="false" customHeight="false" outlineLevel="0" collapsed="false">
      <c r="L9" s="2" t="s">
        <v>181</v>
      </c>
    </row>
    <row r="10" customFormat="false" ht="30" hidden="false" customHeight="true" outlineLevel="0" collapsed="false">
      <c r="L10" s="17" t="s">
        <v>182</v>
      </c>
      <c r="M10" s="17"/>
      <c r="N10" s="17"/>
      <c r="O10" s="17"/>
      <c r="P10" s="17"/>
      <c r="Q10" s="17"/>
      <c r="R10" s="17"/>
      <c r="S10" s="17"/>
      <c r="T10" s="17"/>
    </row>
    <row r="28" customFormat="false" ht="15" hidden="false" customHeight="false" outlineLevel="0" collapsed="false">
      <c r="A28" s="16" t="s">
        <v>183</v>
      </c>
      <c r="L28" s="16" t="s">
        <v>184</v>
      </c>
    </row>
    <row r="29" customFormat="false" ht="15" hidden="false" customHeight="false" outlineLevel="0" collapsed="false">
      <c r="L29" s="2" t="s">
        <v>177</v>
      </c>
    </row>
    <row r="30" customFormat="false" ht="51.75" hidden="false" customHeight="true" outlineLevel="0" collapsed="false">
      <c r="L30" s="17" t="s">
        <v>185</v>
      </c>
      <c r="M30" s="17"/>
      <c r="N30" s="17"/>
      <c r="O30" s="17"/>
      <c r="P30" s="17"/>
      <c r="Q30" s="17"/>
      <c r="R30" s="17"/>
      <c r="S30" s="17"/>
      <c r="T30" s="17"/>
    </row>
    <row r="31" customFormat="false" ht="15" hidden="false" customHeight="false" outlineLevel="0" collapsed="false">
      <c r="L31" s="2" t="s">
        <v>179</v>
      </c>
    </row>
    <row r="32" customFormat="false" ht="39" hidden="false" customHeight="true" outlineLevel="0" collapsed="false">
      <c r="L32" s="17" t="s">
        <v>186</v>
      </c>
      <c r="M32" s="17"/>
      <c r="N32" s="17"/>
      <c r="O32" s="17"/>
      <c r="P32" s="17"/>
      <c r="Q32" s="17"/>
      <c r="R32" s="17"/>
      <c r="S32" s="17"/>
      <c r="T32" s="17"/>
    </row>
    <row r="33" customFormat="false" ht="15" hidden="false" customHeight="false" outlineLevel="0" collapsed="false">
      <c r="L33" s="2" t="s">
        <v>181</v>
      </c>
    </row>
    <row r="34" customFormat="false" ht="39" hidden="false" customHeight="true" outlineLevel="0" collapsed="false">
      <c r="L34" s="17" t="s">
        <v>187</v>
      </c>
      <c r="M34" s="17"/>
      <c r="N34" s="17"/>
      <c r="O34" s="17"/>
      <c r="P34" s="17"/>
      <c r="Q34" s="17"/>
      <c r="R34" s="17"/>
      <c r="S34" s="17"/>
      <c r="T34" s="17"/>
    </row>
    <row r="52" customFormat="false" ht="15" hidden="false" customHeight="false" outlineLevel="0" collapsed="false">
      <c r="A52" s="16" t="s">
        <v>188</v>
      </c>
      <c r="L52" s="16" t="s">
        <v>189</v>
      </c>
    </row>
    <row r="53" customFormat="false" ht="15" hidden="false" customHeight="false" outlineLevel="0" collapsed="false">
      <c r="L53" s="2" t="s">
        <v>177</v>
      </c>
    </row>
    <row r="54" customFormat="false" ht="64.5" hidden="false" customHeight="true" outlineLevel="0" collapsed="false">
      <c r="L54" s="17" t="s">
        <v>190</v>
      </c>
      <c r="M54" s="17"/>
      <c r="N54" s="17"/>
      <c r="O54" s="17"/>
      <c r="P54" s="17"/>
      <c r="Q54" s="17"/>
      <c r="R54" s="17"/>
      <c r="S54" s="17"/>
      <c r="T54" s="17"/>
    </row>
    <row r="55" customFormat="false" ht="15" hidden="false" customHeight="false" outlineLevel="0" collapsed="false">
      <c r="L55" s="2" t="s">
        <v>179</v>
      </c>
    </row>
    <row r="56" customFormat="false" ht="39" hidden="false" customHeight="true" outlineLevel="0" collapsed="false">
      <c r="L56" s="17" t="s">
        <v>191</v>
      </c>
      <c r="M56" s="17"/>
      <c r="N56" s="17"/>
      <c r="O56" s="17"/>
      <c r="P56" s="17"/>
      <c r="Q56" s="17"/>
      <c r="R56" s="17"/>
      <c r="S56" s="17"/>
      <c r="T56" s="17"/>
    </row>
    <row r="57" customFormat="false" ht="15" hidden="false" customHeight="false" outlineLevel="0" collapsed="false">
      <c r="L57" s="2" t="s">
        <v>181</v>
      </c>
    </row>
    <row r="58" customFormat="false" ht="30" hidden="false" customHeight="true" outlineLevel="0" collapsed="false">
      <c r="L58" s="17" t="s">
        <v>192</v>
      </c>
      <c r="M58" s="17"/>
      <c r="N58" s="17"/>
      <c r="O58" s="17"/>
      <c r="P58" s="17"/>
      <c r="Q58" s="17"/>
      <c r="R58" s="17"/>
      <c r="S58" s="17"/>
      <c r="T58" s="17"/>
    </row>
    <row r="76" customFormat="false" ht="15" hidden="false" customHeight="false" outlineLevel="0" collapsed="false">
      <c r="A76" s="16" t="s">
        <v>193</v>
      </c>
      <c r="L76" s="16" t="s">
        <v>194</v>
      </c>
    </row>
    <row r="77" customFormat="false" ht="15" hidden="false" customHeight="false" outlineLevel="0" collapsed="false">
      <c r="L77" s="2" t="s">
        <v>177</v>
      </c>
    </row>
    <row r="78" customFormat="false" ht="51.75" hidden="false" customHeight="true" outlineLevel="0" collapsed="false">
      <c r="L78" s="17" t="s">
        <v>195</v>
      </c>
      <c r="M78" s="17"/>
      <c r="N78" s="17"/>
      <c r="O78" s="17"/>
      <c r="P78" s="17"/>
      <c r="Q78" s="17"/>
      <c r="R78" s="17"/>
      <c r="S78" s="17"/>
      <c r="T78" s="17"/>
    </row>
    <row r="79" customFormat="false" ht="15" hidden="false" customHeight="false" outlineLevel="0" collapsed="false">
      <c r="L79" s="2" t="s">
        <v>179</v>
      </c>
    </row>
    <row r="80" customFormat="false" ht="39" hidden="false" customHeight="true" outlineLevel="0" collapsed="false">
      <c r="L80" s="17" t="s">
        <v>196</v>
      </c>
      <c r="M80" s="17"/>
      <c r="N80" s="17"/>
      <c r="O80" s="17"/>
      <c r="P80" s="17"/>
      <c r="Q80" s="17"/>
      <c r="R80" s="17"/>
      <c r="S80" s="17"/>
      <c r="T80" s="17"/>
    </row>
    <row r="81" customFormat="false" ht="15" hidden="false" customHeight="false" outlineLevel="0" collapsed="false">
      <c r="L81" s="2" t="s">
        <v>181</v>
      </c>
    </row>
    <row r="82" customFormat="false" ht="39" hidden="false" customHeight="true" outlineLevel="0" collapsed="false">
      <c r="L82" s="17" t="s">
        <v>197</v>
      </c>
      <c r="M82" s="17"/>
      <c r="N82" s="17"/>
      <c r="O82" s="17"/>
      <c r="P82" s="17"/>
      <c r="Q82" s="17"/>
      <c r="R82" s="17"/>
      <c r="S82" s="17"/>
      <c r="T82" s="17"/>
    </row>
    <row r="83" customFormat="false" ht="15" hidden="false" customHeight="false" outlineLevel="0" collapsed="false">
      <c r="L83" s="2" t="s">
        <v>198</v>
      </c>
    </row>
    <row r="84" customFormat="false" ht="30" hidden="false" customHeight="true" outlineLevel="0" collapsed="false">
      <c r="L84" s="17" t="s">
        <v>199</v>
      </c>
      <c r="M84" s="17"/>
      <c r="N84" s="17"/>
      <c r="O84" s="17"/>
      <c r="P84" s="17"/>
      <c r="Q84" s="17"/>
      <c r="R84" s="17"/>
      <c r="S84" s="17"/>
      <c r="T84" s="17"/>
    </row>
    <row r="120" customFormat="false" ht="15" hidden="false" customHeight="false" outlineLevel="0" collapsed="false">
      <c r="A120" s="16" t="s">
        <v>200</v>
      </c>
      <c r="L120" s="16" t="s">
        <v>201</v>
      </c>
    </row>
    <row r="121" customFormat="false" ht="15" hidden="false" customHeight="false" outlineLevel="0" collapsed="false">
      <c r="L121" s="2" t="s">
        <v>177</v>
      </c>
    </row>
    <row r="122" customFormat="false" ht="78" hidden="false" customHeight="true" outlineLevel="0" collapsed="false">
      <c r="L122" s="17" t="s">
        <v>202</v>
      </c>
      <c r="M122" s="17"/>
      <c r="N122" s="17"/>
      <c r="O122" s="17"/>
      <c r="P122" s="17"/>
      <c r="Q122" s="17"/>
      <c r="R122" s="17"/>
      <c r="S122" s="17"/>
      <c r="T122" s="17"/>
    </row>
    <row r="123" customFormat="false" ht="15" hidden="false" customHeight="false" outlineLevel="0" collapsed="false">
      <c r="L123" s="2" t="s">
        <v>179</v>
      </c>
    </row>
    <row r="124" customFormat="false" ht="39" hidden="false" customHeight="true" outlineLevel="0" collapsed="false">
      <c r="L124" s="17" t="s">
        <v>203</v>
      </c>
      <c r="M124" s="17"/>
      <c r="N124" s="17"/>
      <c r="O124" s="17"/>
      <c r="P124" s="17"/>
      <c r="Q124" s="17"/>
      <c r="R124" s="17"/>
      <c r="S124" s="17"/>
      <c r="T124" s="17"/>
    </row>
    <row r="125" customFormat="false" ht="15" hidden="false" customHeight="false" outlineLevel="0" collapsed="false">
      <c r="L125" s="2" t="s">
        <v>181</v>
      </c>
    </row>
    <row r="126" customFormat="false" ht="39" hidden="false" customHeight="true" outlineLevel="0" collapsed="false">
      <c r="L126" s="17" t="s">
        <v>204</v>
      </c>
      <c r="M126" s="17"/>
      <c r="N126" s="17"/>
      <c r="O126" s="17"/>
      <c r="P126" s="17"/>
      <c r="Q126" s="17"/>
      <c r="R126" s="17"/>
      <c r="S126" s="17"/>
      <c r="T126" s="17"/>
    </row>
    <row r="144" customFormat="false" ht="15" hidden="false" customHeight="false" outlineLevel="0" collapsed="false">
      <c r="A144" s="16" t="s">
        <v>205</v>
      </c>
      <c r="L144" s="16" t="s">
        <v>206</v>
      </c>
    </row>
    <row r="145" customFormat="false" ht="15" hidden="false" customHeight="false" outlineLevel="0" collapsed="false">
      <c r="L145" s="2" t="s">
        <v>177</v>
      </c>
    </row>
    <row r="146" customFormat="false" ht="64.5" hidden="false" customHeight="true" outlineLevel="0" collapsed="false">
      <c r="L146" s="17" t="s">
        <v>207</v>
      </c>
      <c r="M146" s="17"/>
      <c r="N146" s="17"/>
      <c r="O146" s="17"/>
      <c r="P146" s="17"/>
      <c r="Q146" s="17"/>
      <c r="R146" s="17"/>
      <c r="S146" s="17"/>
      <c r="T146" s="17"/>
    </row>
    <row r="147" customFormat="false" ht="15" hidden="false" customHeight="false" outlineLevel="0" collapsed="false">
      <c r="L147" s="2" t="s">
        <v>179</v>
      </c>
    </row>
    <row r="148" customFormat="false" ht="51.75" hidden="false" customHeight="true" outlineLevel="0" collapsed="false">
      <c r="L148" s="17" t="s">
        <v>208</v>
      </c>
      <c r="M148" s="17"/>
      <c r="N148" s="17"/>
      <c r="O148" s="17"/>
      <c r="P148" s="17"/>
      <c r="Q148" s="17"/>
      <c r="R148" s="17"/>
      <c r="S148" s="17"/>
      <c r="T148" s="17"/>
    </row>
    <row r="149" customFormat="false" ht="15" hidden="false" customHeight="false" outlineLevel="0" collapsed="false">
      <c r="L149" s="2" t="s">
        <v>181</v>
      </c>
    </row>
    <row r="150" customFormat="false" ht="30" hidden="false" customHeight="true" outlineLevel="0" collapsed="false">
      <c r="L150" s="17" t="s">
        <v>209</v>
      </c>
      <c r="M150" s="17"/>
      <c r="N150" s="17"/>
      <c r="O150" s="17"/>
      <c r="P150" s="17"/>
      <c r="Q150" s="17"/>
      <c r="R150" s="17"/>
      <c r="S150" s="17"/>
      <c r="T150" s="17"/>
    </row>
    <row r="168" customFormat="false" ht="15" hidden="false" customHeight="false" outlineLevel="0" collapsed="false">
      <c r="A168" s="16" t="s">
        <v>210</v>
      </c>
    </row>
    <row r="169" customFormat="false" ht="15" hidden="false" customHeight="false" outlineLevel="0" collapsed="false">
      <c r="L169" s="2" t="s">
        <v>211</v>
      </c>
    </row>
    <row r="170" customFormat="false" ht="15" hidden="false" customHeight="false" outlineLevel="0" collapsed="false">
      <c r="L170" s="18" t="s">
        <v>212</v>
      </c>
      <c r="Q170" s="19" t="n">
        <f aca="false">06_SUMMARY!D114</f>
        <v>-0.130269304851348</v>
      </c>
    </row>
    <row r="171" customFormat="false" ht="15" hidden="false" customHeight="false" outlineLevel="0" collapsed="false">
      <c r="L171" s="18" t="s">
        <v>213</v>
      </c>
      <c r="Q171" s="19" t="n">
        <f aca="false">06_SUMMARY!E114</f>
        <v>-0.284758437068676</v>
      </c>
    </row>
    <row r="172" customFormat="false" ht="15" hidden="false" customHeight="false" outlineLevel="0" collapsed="false">
      <c r="L172" s="18" t="s">
        <v>214</v>
      </c>
      <c r="Q172" s="19" t="n">
        <f aca="false">06_SUMMARY!F114</f>
        <v>0.410679861338705</v>
      </c>
    </row>
    <row r="173" customFormat="false" ht="15" hidden="false" customHeight="false" outlineLevel="0" collapsed="false">
      <c r="L173" s="18" t="s">
        <v>215</v>
      </c>
      <c r="Q173" s="19" t="n">
        <f aca="false">06_SUMMARY!G114</f>
        <v>0.0964191570102051</v>
      </c>
    </row>
    <row r="174" customFormat="false" ht="15" hidden="false" customHeight="false" outlineLevel="0" collapsed="false">
      <c r="L174" s="18" t="s">
        <v>216</v>
      </c>
      <c r="Q174" s="19" t="n">
        <f aca="false">06_SUMMARY!H114</f>
        <v>0.345371007900713</v>
      </c>
    </row>
    <row r="175" customFormat="false" ht="15" hidden="false" customHeight="false" outlineLevel="0" collapsed="false">
      <c r="L175" s="18" t="s">
        <v>217</v>
      </c>
      <c r="Q175" s="19" t="n">
        <f aca="false">06_SUMMARY!I114</f>
        <v>0.264885307801836</v>
      </c>
    </row>
    <row r="177" customFormat="false" ht="15" hidden="false" customHeight="false" outlineLevel="0" collapsed="false">
      <c r="L177" s="16" t="s">
        <v>218</v>
      </c>
    </row>
    <row r="178" customFormat="false" ht="15" hidden="false" customHeight="false" outlineLevel="0" collapsed="false">
      <c r="L178" s="2" t="s">
        <v>177</v>
      </c>
    </row>
    <row r="179" customFormat="false" ht="51.75" hidden="false" customHeight="true" outlineLevel="0" collapsed="false">
      <c r="L179" s="17" t="s">
        <v>219</v>
      </c>
      <c r="M179" s="17"/>
      <c r="N179" s="17"/>
      <c r="O179" s="17"/>
      <c r="P179" s="17"/>
      <c r="Q179" s="17"/>
      <c r="R179" s="17"/>
      <c r="S179" s="17"/>
      <c r="T179" s="17"/>
    </row>
    <row r="180" customFormat="false" ht="15" hidden="false" customHeight="false" outlineLevel="0" collapsed="false">
      <c r="L180" s="2" t="s">
        <v>179</v>
      </c>
    </row>
    <row r="181" customFormat="false" ht="51.75" hidden="false" customHeight="true" outlineLevel="0" collapsed="false">
      <c r="L181" s="17" t="s">
        <v>220</v>
      </c>
      <c r="M181" s="17"/>
      <c r="N181" s="17"/>
      <c r="O181" s="17"/>
      <c r="P181" s="17"/>
      <c r="Q181" s="17"/>
      <c r="R181" s="17"/>
      <c r="S181" s="17"/>
      <c r="T181" s="17"/>
    </row>
    <row r="182" customFormat="false" ht="15" hidden="false" customHeight="false" outlineLevel="0" collapsed="false">
      <c r="L182" s="2" t="s">
        <v>181</v>
      </c>
    </row>
    <row r="183" customFormat="false" ht="39" hidden="false" customHeight="true" outlineLevel="0" collapsed="false">
      <c r="L183" s="17" t="s">
        <v>221</v>
      </c>
      <c r="M183" s="17"/>
      <c r="N183" s="17"/>
      <c r="O183" s="17"/>
      <c r="P183" s="17"/>
      <c r="Q183" s="17"/>
      <c r="R183" s="17"/>
      <c r="S183" s="17"/>
      <c r="T183" s="17"/>
    </row>
    <row r="220" customFormat="false" ht="15" hidden="false" customHeight="false" outlineLevel="0" collapsed="false">
      <c r="A220" s="16" t="s">
        <v>222</v>
      </c>
      <c r="L220" s="16" t="s">
        <v>223</v>
      </c>
    </row>
    <row r="221" customFormat="false" ht="15" hidden="false" customHeight="false" outlineLevel="0" collapsed="false">
      <c r="L221" s="2" t="s">
        <v>177</v>
      </c>
    </row>
    <row r="222" customFormat="false" ht="51.75" hidden="false" customHeight="true" outlineLevel="0" collapsed="false">
      <c r="L222" s="17" t="s">
        <v>224</v>
      </c>
      <c r="M222" s="17"/>
      <c r="N222" s="17"/>
      <c r="O222" s="17"/>
      <c r="P222" s="17"/>
      <c r="Q222" s="17"/>
      <c r="R222" s="17"/>
      <c r="S222" s="17"/>
      <c r="T222" s="17"/>
    </row>
    <row r="223" customFormat="false" ht="15" hidden="false" customHeight="false" outlineLevel="0" collapsed="false">
      <c r="L223" s="2" t="s">
        <v>179</v>
      </c>
    </row>
    <row r="224" customFormat="false" ht="39" hidden="false" customHeight="true" outlineLevel="0" collapsed="false">
      <c r="L224" s="17" t="s">
        <v>225</v>
      </c>
      <c r="M224" s="17"/>
      <c r="N224" s="17"/>
      <c r="O224" s="17"/>
      <c r="P224" s="17"/>
      <c r="Q224" s="17"/>
      <c r="R224" s="17"/>
      <c r="S224" s="17"/>
      <c r="T224" s="17"/>
    </row>
    <row r="225" customFormat="false" ht="15" hidden="false" customHeight="false" outlineLevel="0" collapsed="false">
      <c r="L225" s="2" t="s">
        <v>181</v>
      </c>
    </row>
    <row r="226" customFormat="false" ht="51.75" hidden="false" customHeight="true" outlineLevel="0" collapsed="false">
      <c r="L226" s="17" t="s">
        <v>226</v>
      </c>
      <c r="M226" s="17"/>
      <c r="N226" s="17"/>
      <c r="O226" s="17"/>
      <c r="P226" s="17"/>
      <c r="Q226" s="17"/>
      <c r="R226" s="17"/>
      <c r="S226" s="17"/>
      <c r="T226" s="17"/>
    </row>
    <row r="318" customFormat="false" ht="15" hidden="false" customHeight="false" outlineLevel="0" collapsed="false">
      <c r="A318" s="16" t="s">
        <v>227</v>
      </c>
    </row>
    <row r="319" customFormat="false" ht="15" hidden="false" customHeight="false" outlineLevel="0" collapsed="false">
      <c r="A319" s="2" t="s">
        <v>228</v>
      </c>
      <c r="B319" s="14" t="n">
        <v>2020</v>
      </c>
      <c r="C319" s="14" t="s">
        <v>229</v>
      </c>
      <c r="D319" s="2" t="s">
        <v>230</v>
      </c>
      <c r="E319" s="14" t="n">
        <v>2022</v>
      </c>
      <c r="F319" s="14" t="s">
        <v>231</v>
      </c>
    </row>
    <row r="320" customFormat="false" ht="15" hidden="false" customHeight="false" outlineLevel="0" collapsed="false">
      <c r="A320" s="2" t="s">
        <v>232</v>
      </c>
    </row>
    <row r="321" customFormat="false" ht="15" hidden="false" customHeight="false" outlineLevel="0" collapsed="false">
      <c r="A321" s="18" t="str">
        <f aca="false">IF(03_CLEAN_DATA!C2=$B$319,03_CLEAN_DATA!C2&amp;" "&amp;$C$319,IF(03_CLEAN_DATA!C2=$E$319,03_CLEAN_DATA!C2&amp;" "&amp;$F$319,03_CLEAN_DATA!C2&amp;""))</f>
        <v>2010</v>
      </c>
    </row>
    <row r="322" customFormat="false" ht="15" hidden="false" customHeight="false" outlineLevel="0" collapsed="false">
      <c r="A322" s="18" t="str">
        <f aca="false">IF(03_CLEAN_DATA!C3=$B$319,03_CLEAN_DATA!C3&amp;" "&amp;$C$319,IF(03_CLEAN_DATA!C3=$E$319,03_CLEAN_DATA!C3&amp;" "&amp;$F$319,03_CLEAN_DATA!C3&amp;""))</f>
        <v>2011</v>
      </c>
    </row>
    <row r="323" customFormat="false" ht="15" hidden="false" customHeight="false" outlineLevel="0" collapsed="false">
      <c r="A323" s="18" t="str">
        <f aca="false">IF(03_CLEAN_DATA!C4=$B$319,03_CLEAN_DATA!C4&amp;" "&amp;$C$319,IF(03_CLEAN_DATA!C4=$E$319,03_CLEAN_DATA!C4&amp;" "&amp;$F$319,03_CLEAN_DATA!C4&amp;""))</f>
        <v>2012</v>
      </c>
    </row>
    <row r="324" customFormat="false" ht="15" hidden="false" customHeight="false" outlineLevel="0" collapsed="false">
      <c r="A324" s="18" t="str">
        <f aca="false">IF(03_CLEAN_DATA!C5=$B$319,03_CLEAN_DATA!C5&amp;" "&amp;$C$319,IF(03_CLEAN_DATA!C5=$E$319,03_CLEAN_DATA!C5&amp;" "&amp;$F$319,03_CLEAN_DATA!C5&amp;""))</f>
        <v>2013</v>
      </c>
    </row>
    <row r="325" customFormat="false" ht="15" hidden="false" customHeight="false" outlineLevel="0" collapsed="false">
      <c r="A325" s="18" t="str">
        <f aca="false">IF(03_CLEAN_DATA!C6=$B$319,03_CLEAN_DATA!C6&amp;" "&amp;$C$319,IF(03_CLEAN_DATA!C6=$E$319,03_CLEAN_DATA!C6&amp;" "&amp;$F$319,03_CLEAN_DATA!C6&amp;""))</f>
        <v>2014</v>
      </c>
    </row>
    <row r="326" customFormat="false" ht="15" hidden="false" customHeight="false" outlineLevel="0" collapsed="false">
      <c r="A326" s="18" t="str">
        <f aca="false">IF(03_CLEAN_DATA!C7=$B$319,03_CLEAN_DATA!C7&amp;" "&amp;$C$319,IF(03_CLEAN_DATA!C7=$E$319,03_CLEAN_DATA!C7&amp;" "&amp;$F$319,03_CLEAN_DATA!C7&amp;""))</f>
        <v>2015</v>
      </c>
    </row>
    <row r="327" customFormat="false" ht="15" hidden="false" customHeight="false" outlineLevel="0" collapsed="false">
      <c r="A327" s="18" t="str">
        <f aca="false">IF(03_CLEAN_DATA!C8=$B$319,03_CLEAN_DATA!C8&amp;" "&amp;$C$319,IF(03_CLEAN_DATA!C8=$E$319,03_CLEAN_DATA!C8&amp;" "&amp;$F$319,03_CLEAN_DATA!C8&amp;""))</f>
        <v>2016</v>
      </c>
    </row>
    <row r="328" customFormat="false" ht="15" hidden="false" customHeight="false" outlineLevel="0" collapsed="false">
      <c r="A328" s="18" t="str">
        <f aca="false">IF(03_CLEAN_DATA!C9=$B$319,03_CLEAN_DATA!C9&amp;" "&amp;$C$319,IF(03_CLEAN_DATA!C9=$E$319,03_CLEAN_DATA!C9&amp;" "&amp;$F$319,03_CLEAN_DATA!C9&amp;""))</f>
        <v>2017</v>
      </c>
    </row>
    <row r="329" customFormat="false" ht="15" hidden="false" customHeight="false" outlineLevel="0" collapsed="false">
      <c r="A329" s="18" t="str">
        <f aca="false">IF(03_CLEAN_DATA!C10=$B$319,03_CLEAN_DATA!C10&amp;" "&amp;$C$319,IF(03_CLEAN_DATA!C10=$E$319,03_CLEAN_DATA!C10&amp;" "&amp;$F$319,03_CLEAN_DATA!C10&amp;""))</f>
        <v>2018</v>
      </c>
    </row>
    <row r="330" customFormat="false" ht="15" hidden="false" customHeight="false" outlineLevel="0" collapsed="false">
      <c r="A330" s="18" t="str">
        <f aca="false">IF(03_CLEAN_DATA!C11=$B$319,03_CLEAN_DATA!C11&amp;" "&amp;$C$319,IF(03_CLEAN_DATA!C11=$E$319,03_CLEAN_DATA!C11&amp;" "&amp;$F$319,03_CLEAN_DATA!C11&amp;""))</f>
        <v>2019</v>
      </c>
    </row>
    <row r="331" customFormat="false" ht="15" hidden="false" customHeight="false" outlineLevel="0" collapsed="false">
      <c r="A331" s="18" t="str">
        <f aca="false">IF(03_CLEAN_DATA!C12=$B$319,03_CLEAN_DATA!C12&amp;" "&amp;$C$319,IF(03_CLEAN_DATA!C12=$E$319,03_CLEAN_DATA!C12&amp;" "&amp;$F$319,03_CLEAN_DATA!C12&amp;""))</f>
        <v>2020 COVID</v>
      </c>
    </row>
    <row r="332" customFormat="false" ht="15" hidden="false" customHeight="false" outlineLevel="0" collapsed="false">
      <c r="A332" s="18" t="str">
        <f aca="false">IF(03_CLEAN_DATA!C13=$B$319,03_CLEAN_DATA!C13&amp;" "&amp;$C$319,IF(03_CLEAN_DATA!C13=$E$319,03_CLEAN_DATA!C13&amp;" "&amp;$F$319,03_CLEAN_DATA!C13&amp;""))</f>
        <v>2021</v>
      </c>
    </row>
    <row r="333" customFormat="false" ht="15" hidden="false" customHeight="false" outlineLevel="0" collapsed="false">
      <c r="A333" s="18" t="str">
        <f aca="false">IF(03_CLEAN_DATA!C14=$B$319,03_CLEAN_DATA!C14&amp;" "&amp;$C$319,IF(03_CLEAN_DATA!C14=$E$319,03_CLEAN_DATA!C14&amp;" "&amp;$F$319,03_CLEAN_DATA!C14&amp;""))</f>
        <v>2022 Energy</v>
      </c>
    </row>
    <row r="334" customFormat="false" ht="15" hidden="false" customHeight="false" outlineLevel="0" collapsed="false">
      <c r="A334" s="18" t="str">
        <f aca="false">IF(03_CLEAN_DATA!C15=$B$319,03_CLEAN_DATA!C15&amp;" "&amp;$C$319,IF(03_CLEAN_DATA!C15=$E$319,03_CLEAN_DATA!C15&amp;" "&amp;$F$319,03_CLEAN_DATA!C15&amp;""))</f>
        <v>2023</v>
      </c>
    </row>
    <row r="335" customFormat="false" ht="15" hidden="false" customHeight="false" outlineLevel="0" collapsed="false">
      <c r="A335" s="18" t="str">
        <f aca="false">IF(03_CLEAN_DATA!C16=$B$319,03_CLEAN_DATA!C16&amp;" "&amp;$C$319,IF(03_CLEAN_DATA!C16=$E$319,03_CLEAN_DATA!C16&amp;" "&amp;$F$319,03_CLEAN_DATA!C16&amp;""))</f>
        <v>2024</v>
      </c>
    </row>
    <row r="336" customFormat="false" ht="15" hidden="false" customHeight="false" outlineLevel="0" collapsed="false">
      <c r="A336" s="18" t="str">
        <f aca="false">IF(03_CLEAN_DATA!C17=$B$319,03_CLEAN_DATA!C17&amp;" "&amp;$C$319,IF(03_CLEAN_DATA!C17=$E$319,03_CLEAN_DATA!C17&amp;" "&amp;$F$319,03_CLEAN_DATA!C17&amp;""))</f>
        <v>2025</v>
      </c>
    </row>
  </sheetData>
  <mergeCells count="26">
    <mergeCell ref="A2:T2"/>
    <mergeCell ref="L6:T6"/>
    <mergeCell ref="L8:T8"/>
    <mergeCell ref="L10:T10"/>
    <mergeCell ref="L30:T30"/>
    <mergeCell ref="L32:T32"/>
    <mergeCell ref="L34:T34"/>
    <mergeCell ref="L54:T54"/>
    <mergeCell ref="L56:T56"/>
    <mergeCell ref="L58:T58"/>
    <mergeCell ref="L78:T78"/>
    <mergeCell ref="L80:T80"/>
    <mergeCell ref="L82:T82"/>
    <mergeCell ref="L84:T84"/>
    <mergeCell ref="L122:T122"/>
    <mergeCell ref="L124:T124"/>
    <mergeCell ref="L126:T126"/>
    <mergeCell ref="L146:T146"/>
    <mergeCell ref="L148:T148"/>
    <mergeCell ref="L150:T150"/>
    <mergeCell ref="L179:T179"/>
    <mergeCell ref="L181:T181"/>
    <mergeCell ref="L183:T183"/>
    <mergeCell ref="L222:T222"/>
    <mergeCell ref="L224:T224"/>
    <mergeCell ref="L226:T2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24"/>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28"/>
    <col collapsed="false" customWidth="true" hidden="false" outlineLevel="0" max="8" min="8" style="0" width="20"/>
    <col collapsed="false" customWidth="true" hidden="false" outlineLevel="0" max="9" min="9" style="0" width="18"/>
    <col collapsed="false" customWidth="true" hidden="false" outlineLevel="0" max="10" min="10" style="0" width="22"/>
    <col collapsed="false" customWidth="true" hidden="false" outlineLevel="0" max="11" min="11" style="0" width="18"/>
    <col collapsed="false" customWidth="true" hidden="false" outlineLevel="0" max="12" min="12" style="0" width="22"/>
    <col collapsed="false" customWidth="true" hidden="false" outlineLevel="0" max="13" min="13" style="0" width="70"/>
  </cols>
  <sheetData>
    <row r="1" customFormat="false" ht="17.35" hidden="false" customHeight="false" outlineLevel="0" collapsed="false">
      <c r="A1" s="1" t="s">
        <v>233</v>
      </c>
    </row>
    <row r="2" customFormat="false" ht="15" hidden="false" customHeight="false" outlineLevel="0" collapsed="false">
      <c r="A2" s="9" t="s">
        <v>234</v>
      </c>
    </row>
    <row r="4" customFormat="false" ht="15" hidden="false" customHeight="false" outlineLevel="0" collapsed="false">
      <c r="A4" s="4" t="s">
        <v>235</v>
      </c>
    </row>
    <row r="5" customFormat="false" ht="48" hidden="false" customHeight="true" outlineLevel="0" collapsed="false">
      <c r="A5" s="6" t="s">
        <v>162</v>
      </c>
      <c r="B5" s="6" t="s">
        <v>39</v>
      </c>
      <c r="C5" s="6" t="s">
        <v>41</v>
      </c>
      <c r="D5" s="6" t="s">
        <v>236</v>
      </c>
      <c r="E5" s="6" t="s">
        <v>237</v>
      </c>
      <c r="F5" s="6" t="s">
        <v>238</v>
      </c>
      <c r="G5" s="6" t="s">
        <v>239</v>
      </c>
      <c r="H5" s="6" t="s">
        <v>240</v>
      </c>
      <c r="I5" s="6" t="s">
        <v>241</v>
      </c>
      <c r="J5" s="6" t="s">
        <v>242</v>
      </c>
      <c r="K5" s="6" t="s">
        <v>243</v>
      </c>
      <c r="L5" s="6" t="s">
        <v>244</v>
      </c>
      <c r="M5" s="6" t="s">
        <v>245</v>
      </c>
    </row>
    <row r="6" customFormat="false" ht="39.75" hidden="false" customHeight="true" outlineLevel="0" collapsed="false">
      <c r="A6" s="7" t="s">
        <v>44</v>
      </c>
      <c r="B6" s="7" t="str">
        <f aca="false">01_README!$C$27</f>
        <v>NY.GDP.MKTP.CD</v>
      </c>
      <c r="C6" s="7" t="s">
        <v>47</v>
      </c>
      <c r="D6" s="20" t="n">
        <f aca="false">ROWS(03_CLEAN_DATA!$D$2:$D$65)-COUNT(03_CLEAN_DATA!$D$2:$D$65)</f>
        <v>0</v>
      </c>
      <c r="E6" s="20" t="n">
        <f aca="false">68-SUMPRODUCT((02_RAW_DATA!$D$2:$D$57=B6)*ISNUMBER(02_RAW_DATA!$E$2:$U$57))</f>
        <v>0</v>
      </c>
      <c r="F6" s="7" t="str">
        <f aca="false">_xlfn.MINIFS(03_CLEAN_DATA!$C$2:$C$65,03_CLEAN_DATA!$D$2:$D$65,"&gt;-1E+300")&amp;"-"&amp;_xlfn.MAXIFS(03_CLEAN_DATA!$C$2:$C$65,03_CLEAN_DATA!$D$2:$D$65,"&gt;-1E+300")</f>
        <v>2010-2025</v>
      </c>
      <c r="G6" s="21" t="s">
        <v>246</v>
      </c>
      <c r="H6" s="20" t="n">
        <f aca="false">16-COUNT(03_CLEAN_DATA!$D$2:$D$17)</f>
        <v>0</v>
      </c>
      <c r="I6" s="20" t="n">
        <f aca="false">16-COUNT(03_CLEAN_DATA!$D$18:$D$33)</f>
        <v>0</v>
      </c>
      <c r="J6" s="20" t="n">
        <f aca="false">16-COUNT(03_CLEAN_DATA!$D$34:$D$49)</f>
        <v>0</v>
      </c>
      <c r="K6" s="20" t="n">
        <f aca="false">16-COUNT(03_CLEAN_DATA!$D$50:$D$65)</f>
        <v>0</v>
      </c>
      <c r="L6" s="9" t="s">
        <v>247</v>
      </c>
      <c r="M6" s="21" t="s">
        <v>248</v>
      </c>
    </row>
    <row r="7" customFormat="false" ht="39.75" hidden="false" customHeight="true" outlineLevel="0" collapsed="false">
      <c r="A7" s="7" t="s">
        <v>50</v>
      </c>
      <c r="B7" s="7" t="str">
        <f aca="false">01_README!$C$28</f>
        <v>NY.GDP.MKTP.KD.ZG</v>
      </c>
      <c r="C7" s="7" t="s">
        <v>53</v>
      </c>
      <c r="D7" s="20" t="n">
        <f aca="false">ROWS(03_CLEAN_DATA!$E$2:$E$65)-COUNT(03_CLEAN_DATA!$E$2:$E$65)</f>
        <v>0</v>
      </c>
      <c r="E7" s="20" t="n">
        <f aca="false">68-SUMPRODUCT((02_RAW_DATA!$D$2:$D$57=B7)*ISNUMBER(02_RAW_DATA!$E$2:$U$57))</f>
        <v>0</v>
      </c>
      <c r="F7" s="7" t="str">
        <f aca="false">_xlfn.MINIFS(03_CLEAN_DATA!$C$2:$C$65,03_CLEAN_DATA!$E$2:$E$65,"&gt;-1E+300")&amp;"-"&amp;_xlfn.MAXIFS(03_CLEAN_DATA!$C$2:$C$65,03_CLEAN_DATA!$E$2:$E$65,"&gt;-1E+300")</f>
        <v>2010-2025</v>
      </c>
      <c r="G7" s="21" t="s">
        <v>246</v>
      </c>
      <c r="H7" s="20" t="n">
        <f aca="false">16-COUNT(03_CLEAN_DATA!$E$2:$E$17)</f>
        <v>0</v>
      </c>
      <c r="I7" s="20" t="n">
        <f aca="false">16-COUNT(03_CLEAN_DATA!$E$18:$E$33)</f>
        <v>0</v>
      </c>
      <c r="J7" s="20" t="n">
        <f aca="false">16-COUNT(03_CLEAN_DATA!$E$34:$E$49)</f>
        <v>0</v>
      </c>
      <c r="K7" s="20" t="n">
        <f aca="false">16-COUNT(03_CLEAN_DATA!$E$50:$E$65)</f>
        <v>0</v>
      </c>
      <c r="L7" s="20" t="n">
        <f aca="false">COUNTIF(04_CALCULATIONS!$K$2:$K$65,"?*")-COUNTIF(04_CALCULATIONS!$K$2:$K$65,"MISSING")</f>
        <v>2</v>
      </c>
      <c r="M7" s="21" t="s">
        <v>249</v>
      </c>
    </row>
    <row r="8" customFormat="false" ht="39.75" hidden="false" customHeight="true" outlineLevel="0" collapsed="false">
      <c r="A8" s="7" t="s">
        <v>55</v>
      </c>
      <c r="B8" s="7" t="str">
        <f aca="false">01_README!$C$29</f>
        <v>NY.GDP.PCAP.CD</v>
      </c>
      <c r="C8" s="7" t="s">
        <v>47</v>
      </c>
      <c r="D8" s="20" t="n">
        <f aca="false">ROWS(03_CLEAN_DATA!$F$2:$F$65)-COUNT(03_CLEAN_DATA!$F$2:$F$65)</f>
        <v>0</v>
      </c>
      <c r="E8" s="20" t="n">
        <f aca="false">68-SUMPRODUCT((02_RAW_DATA!$D$2:$D$57=B8)*ISNUMBER(02_RAW_DATA!$E$2:$U$57))</f>
        <v>0</v>
      </c>
      <c r="F8" s="7" t="str">
        <f aca="false">_xlfn.MINIFS(03_CLEAN_DATA!$C$2:$C$65,03_CLEAN_DATA!$F$2:$F$65,"&gt;-1E+300")&amp;"-"&amp;_xlfn.MAXIFS(03_CLEAN_DATA!$C$2:$C$65,03_CLEAN_DATA!$F$2:$F$65,"&gt;-1E+300")</f>
        <v>2010-2025</v>
      </c>
      <c r="G8" s="21" t="s">
        <v>246</v>
      </c>
      <c r="H8" s="20" t="n">
        <f aca="false">16-COUNT(03_CLEAN_DATA!$F$2:$F$17)</f>
        <v>0</v>
      </c>
      <c r="I8" s="20" t="n">
        <f aca="false">16-COUNT(03_CLEAN_DATA!$F$18:$F$33)</f>
        <v>0</v>
      </c>
      <c r="J8" s="20" t="n">
        <f aca="false">16-COUNT(03_CLEAN_DATA!$F$34:$F$49)</f>
        <v>0</v>
      </c>
      <c r="K8" s="20" t="n">
        <f aca="false">16-COUNT(03_CLEAN_DATA!$F$50:$F$65)</f>
        <v>0</v>
      </c>
      <c r="L8" s="9" t="s">
        <v>247</v>
      </c>
      <c r="M8" s="21" t="s">
        <v>250</v>
      </c>
    </row>
    <row r="9" customFormat="false" ht="39.75" hidden="false" customHeight="true" outlineLevel="0" collapsed="false">
      <c r="A9" s="7" t="s">
        <v>59</v>
      </c>
      <c r="B9" s="7" t="str">
        <f aca="false">01_README!$C$30</f>
        <v>NE.EXP.GNFS.CD</v>
      </c>
      <c r="C9" s="7" t="s">
        <v>47</v>
      </c>
      <c r="D9" s="20" t="n">
        <f aca="false">ROWS(03_CLEAN_DATA!$G$2:$G$65)-COUNT(03_CLEAN_DATA!$G$2:$G$65)</f>
        <v>0</v>
      </c>
      <c r="E9" s="20" t="n">
        <f aca="false">68-SUMPRODUCT((02_RAW_DATA!$D$2:$D$57=B9)*ISNUMBER(02_RAW_DATA!$E$2:$U$57))</f>
        <v>0</v>
      </c>
      <c r="F9" s="7" t="str">
        <f aca="false">_xlfn.MINIFS(03_CLEAN_DATA!$C$2:$C$65,03_CLEAN_DATA!$G$2:$G$65,"&gt;-1E+300")&amp;"-"&amp;_xlfn.MAXIFS(03_CLEAN_DATA!$C$2:$C$65,03_CLEAN_DATA!$G$2:$G$65,"&gt;-1E+300")</f>
        <v>2010-2025</v>
      </c>
      <c r="G9" s="21" t="s">
        <v>251</v>
      </c>
      <c r="H9" s="20" t="n">
        <f aca="false">16-COUNT(03_CLEAN_DATA!$G$2:$G$17)</f>
        <v>0</v>
      </c>
      <c r="I9" s="20" t="n">
        <f aca="false">16-COUNT(03_CLEAN_DATA!$G$18:$G$33)</f>
        <v>0</v>
      </c>
      <c r="J9" s="20" t="n">
        <f aca="false">16-COUNT(03_CLEAN_DATA!$G$34:$G$49)</f>
        <v>0</v>
      </c>
      <c r="K9" s="20" t="n">
        <f aca="false">16-COUNT(03_CLEAN_DATA!$G$50:$G$65)</f>
        <v>0</v>
      </c>
      <c r="L9" s="9" t="s">
        <v>247</v>
      </c>
      <c r="M9" s="21" t="s">
        <v>252</v>
      </c>
    </row>
    <row r="10" customFormat="false" ht="39.75" hidden="false" customHeight="true" outlineLevel="0" collapsed="false">
      <c r="A10" s="7" t="s">
        <v>63</v>
      </c>
      <c r="B10" s="7" t="str">
        <f aca="false">01_README!$C$31</f>
        <v>NE.EXP.GNFS.KD</v>
      </c>
      <c r="C10" s="7" t="s">
        <v>66</v>
      </c>
      <c r="D10" s="20" t="n">
        <f aca="false">ROWS(03_CLEAN_DATA!$H$2:$H$65)-COUNT(03_CLEAN_DATA!$H$2:$H$65)</f>
        <v>0</v>
      </c>
      <c r="E10" s="20" t="n">
        <f aca="false">68-SUMPRODUCT((02_RAW_DATA!$D$2:$D$57=B10)*ISNUMBER(02_RAW_DATA!$E$2:$U$57))</f>
        <v>0</v>
      </c>
      <c r="F10" s="7" t="str">
        <f aca="false">_xlfn.MINIFS(03_CLEAN_DATA!$C$2:$C$65,03_CLEAN_DATA!$H$2:$H$65,"&gt;-1E+300")&amp;"-"&amp;_xlfn.MAXIFS(03_CLEAN_DATA!$C$2:$C$65,03_CLEAN_DATA!$H$2:$H$65,"&gt;-1E+300")</f>
        <v>2010-2025</v>
      </c>
      <c r="G10" s="21" t="s">
        <v>246</v>
      </c>
      <c r="H10" s="20" t="n">
        <f aca="false">16-COUNT(03_CLEAN_DATA!$H$2:$H$17)</f>
        <v>0</v>
      </c>
      <c r="I10" s="20" t="n">
        <f aca="false">16-COUNT(03_CLEAN_DATA!$H$18:$H$33)</f>
        <v>0</v>
      </c>
      <c r="J10" s="20" t="n">
        <f aca="false">16-COUNT(03_CLEAN_DATA!$H$34:$H$49)</f>
        <v>0</v>
      </c>
      <c r="K10" s="20" t="n">
        <f aca="false">16-COUNT(03_CLEAN_DATA!$H$50:$H$65)</f>
        <v>0</v>
      </c>
      <c r="L10" s="9" t="s">
        <v>247</v>
      </c>
      <c r="M10" s="21" t="s">
        <v>253</v>
      </c>
    </row>
    <row r="11" customFormat="false" ht="39.75" hidden="false" customHeight="true" outlineLevel="0" collapsed="false">
      <c r="A11" s="7" t="s">
        <v>68</v>
      </c>
      <c r="B11" s="7" t="str">
        <f aca="false">01_README!$C$32</f>
        <v>NE.IMP.GNFS.CD</v>
      </c>
      <c r="C11" s="7" t="s">
        <v>47</v>
      </c>
      <c r="D11" s="20" t="n">
        <f aca="false">ROWS(03_CLEAN_DATA!$I$2:$I$65)-COUNT(03_CLEAN_DATA!$I$2:$I$65)</f>
        <v>0</v>
      </c>
      <c r="E11" s="20" t="n">
        <f aca="false">68-SUMPRODUCT((02_RAW_DATA!$D$2:$D$57=B11)*ISNUMBER(02_RAW_DATA!$E$2:$U$57))</f>
        <v>0</v>
      </c>
      <c r="F11" s="7" t="str">
        <f aca="false">_xlfn.MINIFS(03_CLEAN_DATA!$C$2:$C$65,03_CLEAN_DATA!$I$2:$I$65,"&gt;-1E+300")&amp;"-"&amp;_xlfn.MAXIFS(03_CLEAN_DATA!$C$2:$C$65,03_CLEAN_DATA!$I$2:$I$65,"&gt;-1E+300")</f>
        <v>2010-2025</v>
      </c>
      <c r="G11" s="21" t="s">
        <v>251</v>
      </c>
      <c r="H11" s="20" t="n">
        <f aca="false">16-COUNT(03_CLEAN_DATA!$I$2:$I$17)</f>
        <v>0</v>
      </c>
      <c r="I11" s="20" t="n">
        <f aca="false">16-COUNT(03_CLEAN_DATA!$I$18:$I$33)</f>
        <v>0</v>
      </c>
      <c r="J11" s="20" t="n">
        <f aca="false">16-COUNT(03_CLEAN_DATA!$I$34:$I$49)</f>
        <v>0</v>
      </c>
      <c r="K11" s="20" t="n">
        <f aca="false">16-COUNT(03_CLEAN_DATA!$I$50:$I$65)</f>
        <v>0</v>
      </c>
      <c r="L11" s="9" t="s">
        <v>247</v>
      </c>
      <c r="M11" s="21" t="s">
        <v>254</v>
      </c>
    </row>
    <row r="12" customFormat="false" ht="39.75" hidden="false" customHeight="true" outlineLevel="0" collapsed="false">
      <c r="A12" s="7" t="s">
        <v>71</v>
      </c>
      <c r="B12" s="7" t="str">
        <f aca="false">01_README!$C$33</f>
        <v>NE.EXP.GNFS.ZS</v>
      </c>
      <c r="C12" s="7" t="s">
        <v>74</v>
      </c>
      <c r="D12" s="20" t="n">
        <f aca="false">ROWS(03_CLEAN_DATA!$J$2:$J$65)-COUNT(03_CLEAN_DATA!$J$2:$J$65)</f>
        <v>0</v>
      </c>
      <c r="E12" s="20" t="n">
        <f aca="false">68-SUMPRODUCT((02_RAW_DATA!$D$2:$D$57=B12)*ISNUMBER(02_RAW_DATA!$E$2:$U$57))</f>
        <v>0</v>
      </c>
      <c r="F12" s="7" t="str">
        <f aca="false">_xlfn.MINIFS(03_CLEAN_DATA!$C$2:$C$65,03_CLEAN_DATA!$J$2:$J$65,"&gt;-1E+300")&amp;"-"&amp;_xlfn.MAXIFS(03_CLEAN_DATA!$C$2:$C$65,03_CLEAN_DATA!$J$2:$J$65,"&gt;-1E+300")</f>
        <v>2010-2025</v>
      </c>
      <c r="G12" s="21" t="s">
        <v>251</v>
      </c>
      <c r="H12" s="20" t="n">
        <f aca="false">16-COUNT(03_CLEAN_DATA!$J$2:$J$17)</f>
        <v>0</v>
      </c>
      <c r="I12" s="20" t="n">
        <f aca="false">16-COUNT(03_CLEAN_DATA!$J$18:$J$33)</f>
        <v>0</v>
      </c>
      <c r="J12" s="20" t="n">
        <f aca="false">16-COUNT(03_CLEAN_DATA!$J$34:$J$49)</f>
        <v>0</v>
      </c>
      <c r="K12" s="20" t="n">
        <f aca="false">16-COUNT(03_CLEAN_DATA!$J$50:$J$65)</f>
        <v>0</v>
      </c>
      <c r="L12" s="9" t="s">
        <v>247</v>
      </c>
      <c r="M12" s="21" t="s">
        <v>255</v>
      </c>
    </row>
    <row r="13" customFormat="false" ht="39.75" hidden="false" customHeight="true" outlineLevel="0" collapsed="false">
      <c r="A13" s="7" t="s">
        <v>76</v>
      </c>
      <c r="B13" s="7" t="str">
        <f aca="false">01_README!$C$34</f>
        <v>NE.IMP.GNFS.ZS</v>
      </c>
      <c r="C13" s="7" t="s">
        <v>74</v>
      </c>
      <c r="D13" s="20" t="n">
        <f aca="false">ROWS(03_CLEAN_DATA!$K$2:$K$65)-COUNT(03_CLEAN_DATA!$K$2:$K$65)</f>
        <v>0</v>
      </c>
      <c r="E13" s="20" t="n">
        <f aca="false">68-SUMPRODUCT((02_RAW_DATA!$D$2:$D$57=B13)*ISNUMBER(02_RAW_DATA!$E$2:$U$57))</f>
        <v>0</v>
      </c>
      <c r="F13" s="7" t="str">
        <f aca="false">_xlfn.MINIFS(03_CLEAN_DATA!$C$2:$C$65,03_CLEAN_DATA!$K$2:$K$65,"&gt;-1E+300")&amp;"-"&amp;_xlfn.MAXIFS(03_CLEAN_DATA!$C$2:$C$65,03_CLEAN_DATA!$K$2:$K$65,"&gt;-1E+300")</f>
        <v>2010-2025</v>
      </c>
      <c r="G13" s="21" t="s">
        <v>251</v>
      </c>
      <c r="H13" s="20" t="n">
        <f aca="false">16-COUNT(03_CLEAN_DATA!$K$2:$K$17)</f>
        <v>0</v>
      </c>
      <c r="I13" s="20" t="n">
        <f aca="false">16-COUNT(03_CLEAN_DATA!$K$18:$K$33)</f>
        <v>0</v>
      </c>
      <c r="J13" s="20" t="n">
        <f aca="false">16-COUNT(03_CLEAN_DATA!$K$34:$K$49)</f>
        <v>0</v>
      </c>
      <c r="K13" s="20" t="n">
        <f aca="false">16-COUNT(03_CLEAN_DATA!$K$50:$K$65)</f>
        <v>0</v>
      </c>
      <c r="L13" s="9" t="s">
        <v>247</v>
      </c>
      <c r="M13" s="21" t="s">
        <v>256</v>
      </c>
    </row>
    <row r="14" customFormat="false" ht="39.75" hidden="false" customHeight="true" outlineLevel="0" collapsed="false">
      <c r="A14" s="7" t="s">
        <v>80</v>
      </c>
      <c r="B14" s="7" t="str">
        <f aca="false">01_README!$C$35</f>
        <v>NE.TRD.GNFS.ZS</v>
      </c>
      <c r="C14" s="7" t="s">
        <v>74</v>
      </c>
      <c r="D14" s="20" t="n">
        <f aca="false">ROWS(03_CLEAN_DATA!$L$2:$L$65)-COUNT(03_CLEAN_DATA!$L$2:$L$65)</f>
        <v>0</v>
      </c>
      <c r="E14" s="20" t="n">
        <f aca="false">68-SUMPRODUCT((02_RAW_DATA!$D$2:$D$57=B14)*ISNUMBER(02_RAW_DATA!$E$2:$U$57))</f>
        <v>0</v>
      </c>
      <c r="F14" s="7" t="str">
        <f aca="false">_xlfn.MINIFS(03_CLEAN_DATA!$C$2:$C$65,03_CLEAN_DATA!$L$2:$L$65,"&gt;-1E+300")&amp;"-"&amp;_xlfn.MAXIFS(03_CLEAN_DATA!$C$2:$C$65,03_CLEAN_DATA!$L$2:$L$65,"&gt;-1E+300")</f>
        <v>2010-2025</v>
      </c>
      <c r="G14" s="21" t="s">
        <v>246</v>
      </c>
      <c r="H14" s="20" t="n">
        <f aca="false">16-COUNT(03_CLEAN_DATA!$L$2:$L$17)</f>
        <v>0</v>
      </c>
      <c r="I14" s="20" t="n">
        <f aca="false">16-COUNT(03_CLEAN_DATA!$L$18:$L$33)</f>
        <v>0</v>
      </c>
      <c r="J14" s="20" t="n">
        <f aca="false">16-COUNT(03_CLEAN_DATA!$L$34:$L$49)</f>
        <v>0</v>
      </c>
      <c r="K14" s="20" t="n">
        <f aca="false">16-COUNT(03_CLEAN_DATA!$L$50:$L$65)</f>
        <v>0</v>
      </c>
      <c r="L14" s="20" t="n">
        <f aca="false">COUNTIF(04_CALCULATIONS!$O$2:$O$65,"?*")-COUNTIF(04_CALCULATIONS!$O$2:$O$65,"MISSING")</f>
        <v>0</v>
      </c>
      <c r="M14" s="21" t="s">
        <v>257</v>
      </c>
    </row>
    <row r="15" customFormat="false" ht="39.75" hidden="false" customHeight="true" outlineLevel="0" collapsed="false">
      <c r="A15" s="7" t="s">
        <v>84</v>
      </c>
      <c r="B15" s="7" t="str">
        <f aca="false">01_README!$C$36</f>
        <v>BX.KLT.DINV.CD.WD</v>
      </c>
      <c r="C15" s="7" t="s">
        <v>47</v>
      </c>
      <c r="D15" s="20" t="n">
        <f aca="false">ROWS(03_CLEAN_DATA!$M$2:$M$65)-COUNT(03_CLEAN_DATA!$M$2:$M$65)</f>
        <v>0</v>
      </c>
      <c r="E15" s="20" t="n">
        <f aca="false">68-SUMPRODUCT((02_RAW_DATA!$D$2:$D$57=B15)*ISNUMBER(02_RAW_DATA!$E$2:$U$57))</f>
        <v>0</v>
      </c>
      <c r="F15" s="7" t="str">
        <f aca="false">_xlfn.MINIFS(03_CLEAN_DATA!$C$2:$C$65,03_CLEAN_DATA!$M$2:$M$65,"&gt;-1E+300")&amp;"-"&amp;_xlfn.MAXIFS(03_CLEAN_DATA!$C$2:$C$65,03_CLEAN_DATA!$M$2:$M$65,"&gt;-1E+300")</f>
        <v>2010-2025</v>
      </c>
      <c r="G15" s="21" t="s">
        <v>258</v>
      </c>
      <c r="H15" s="20" t="n">
        <f aca="false">16-COUNT(03_CLEAN_DATA!$M$2:$M$17)</f>
        <v>0</v>
      </c>
      <c r="I15" s="20" t="n">
        <f aca="false">16-COUNT(03_CLEAN_DATA!$M$18:$M$33)</f>
        <v>0</v>
      </c>
      <c r="J15" s="20" t="n">
        <f aca="false">16-COUNT(03_CLEAN_DATA!$M$34:$M$49)</f>
        <v>0</v>
      </c>
      <c r="K15" s="20" t="n">
        <f aca="false">16-COUNT(03_CLEAN_DATA!$M$50:$M$65)</f>
        <v>0</v>
      </c>
      <c r="L15" s="9" t="s">
        <v>247</v>
      </c>
      <c r="M15" s="21" t="s">
        <v>259</v>
      </c>
    </row>
    <row r="16" customFormat="false" ht="39.75" hidden="false" customHeight="true" outlineLevel="0" collapsed="false">
      <c r="A16" s="7" t="s">
        <v>87</v>
      </c>
      <c r="B16" s="7" t="str">
        <f aca="false">01_README!$C$37</f>
        <v>BX.KLT.DINV.WD.GD.ZS</v>
      </c>
      <c r="C16" s="7" t="s">
        <v>74</v>
      </c>
      <c r="D16" s="20" t="n">
        <f aca="false">ROWS(03_CLEAN_DATA!$N$2:$N$65)-COUNT(03_CLEAN_DATA!$N$2:$N$65)</f>
        <v>0</v>
      </c>
      <c r="E16" s="20" t="n">
        <f aca="false">68-SUMPRODUCT((02_RAW_DATA!$D$2:$D$57=B16)*ISNUMBER(02_RAW_DATA!$E$2:$U$57))</f>
        <v>0</v>
      </c>
      <c r="F16" s="7" t="str">
        <f aca="false">_xlfn.MINIFS(03_CLEAN_DATA!$C$2:$C$65,03_CLEAN_DATA!$N$2:$N$65,"&gt;-1E+300")&amp;"-"&amp;_xlfn.MAXIFS(03_CLEAN_DATA!$C$2:$C$65,03_CLEAN_DATA!$N$2:$N$65,"&gt;-1E+300")</f>
        <v>2010-2025</v>
      </c>
      <c r="G16" s="21" t="s">
        <v>260</v>
      </c>
      <c r="H16" s="20" t="n">
        <f aca="false">16-COUNT(03_CLEAN_DATA!$N$2:$N$17)</f>
        <v>0</v>
      </c>
      <c r="I16" s="20" t="n">
        <f aca="false">16-COUNT(03_CLEAN_DATA!$N$18:$N$33)</f>
        <v>0</v>
      </c>
      <c r="J16" s="20" t="n">
        <f aca="false">16-COUNT(03_CLEAN_DATA!$N$34:$N$49)</f>
        <v>0</v>
      </c>
      <c r="K16" s="20" t="n">
        <f aca="false">16-COUNT(03_CLEAN_DATA!$N$50:$N$65)</f>
        <v>0</v>
      </c>
      <c r="L16" s="20" t="n">
        <f aca="false">COUNTIF(04_CALCULATIONS!$L$2:$L$65,"?*")-COUNTIF(04_CALCULATIONS!$L$2:$L$65,"MISSING")</f>
        <v>12</v>
      </c>
      <c r="M16" s="21" t="s">
        <v>261</v>
      </c>
    </row>
    <row r="17" customFormat="false" ht="39.75" hidden="false" customHeight="true" outlineLevel="0" collapsed="false">
      <c r="A17" s="7" t="s">
        <v>91</v>
      </c>
      <c r="B17" s="7" t="str">
        <f aca="false">01_README!$C$38</f>
        <v>NV.IND.MANF.ZS</v>
      </c>
      <c r="C17" s="7" t="s">
        <v>74</v>
      </c>
      <c r="D17" s="20" t="n">
        <f aca="false">ROWS(03_CLEAN_DATA!$O$2:$O$65)-COUNT(03_CLEAN_DATA!$O$2:$O$65)</f>
        <v>0</v>
      </c>
      <c r="E17" s="20" t="n">
        <f aca="false">68-SUMPRODUCT((02_RAW_DATA!$D$2:$D$57=B17)*ISNUMBER(02_RAW_DATA!$E$2:$U$57))</f>
        <v>0</v>
      </c>
      <c r="F17" s="7" t="str">
        <f aca="false">_xlfn.MINIFS(03_CLEAN_DATA!$C$2:$C$65,03_CLEAN_DATA!$O$2:$O$65,"&gt;-1E+300")&amp;"-"&amp;_xlfn.MAXIFS(03_CLEAN_DATA!$C$2:$C$65,03_CLEAN_DATA!$O$2:$O$65,"&gt;-1E+300")</f>
        <v>2010-2025</v>
      </c>
      <c r="G17" s="21" t="s">
        <v>251</v>
      </c>
      <c r="H17" s="20" t="n">
        <f aca="false">16-COUNT(03_CLEAN_DATA!$O$2:$O$17)</f>
        <v>0</v>
      </c>
      <c r="I17" s="20" t="n">
        <f aca="false">16-COUNT(03_CLEAN_DATA!$O$18:$O$33)</f>
        <v>0</v>
      </c>
      <c r="J17" s="20" t="n">
        <f aca="false">16-COUNT(03_CLEAN_DATA!$O$34:$O$49)</f>
        <v>0</v>
      </c>
      <c r="K17" s="20" t="n">
        <f aca="false">16-COUNT(03_CLEAN_DATA!$O$50:$O$65)</f>
        <v>0</v>
      </c>
      <c r="L17" s="20" t="n">
        <f aca="false">COUNTIF(04_CALCULATIONS!$M$2:$M$65,"?*")-COUNTIF(04_CALCULATIONS!$M$2:$M$65,"MISSING")</f>
        <v>2</v>
      </c>
      <c r="M17" s="21" t="s">
        <v>262</v>
      </c>
    </row>
    <row r="18" customFormat="false" ht="39.75" hidden="false" customHeight="true" outlineLevel="0" collapsed="false">
      <c r="A18" s="7" t="s">
        <v>95</v>
      </c>
      <c r="B18" s="7" t="str">
        <f aca="false">01_README!$C$39</f>
        <v>BN.CAB.XOKA.GD.ZS</v>
      </c>
      <c r="C18" s="7" t="s">
        <v>74</v>
      </c>
      <c r="D18" s="20" t="n">
        <f aca="false">ROWS(03_CLEAN_DATA!$P$2:$P$65)-COUNT(03_CLEAN_DATA!$P$2:$P$65)</f>
        <v>0</v>
      </c>
      <c r="E18" s="20" t="n">
        <f aca="false">68-SUMPRODUCT((02_RAW_DATA!$D$2:$D$57=B18)*ISNUMBER(02_RAW_DATA!$E$2:$U$57))</f>
        <v>0</v>
      </c>
      <c r="F18" s="7" t="str">
        <f aca="false">_xlfn.MINIFS(03_CLEAN_DATA!$C$2:$C$65,03_CLEAN_DATA!$P$2:$P$65,"&gt;-1E+300")&amp;"-"&amp;_xlfn.MAXIFS(03_CLEAN_DATA!$C$2:$C$65,03_CLEAN_DATA!$P$2:$P$65,"&gt;-1E+300")</f>
        <v>2010-2025</v>
      </c>
      <c r="G18" s="21" t="s">
        <v>263</v>
      </c>
      <c r="H18" s="20" t="n">
        <f aca="false">16-COUNT(03_CLEAN_DATA!$P$2:$P$17)</f>
        <v>0</v>
      </c>
      <c r="I18" s="20" t="n">
        <f aca="false">16-COUNT(03_CLEAN_DATA!$P$18:$P$33)</f>
        <v>0</v>
      </c>
      <c r="J18" s="20" t="n">
        <f aca="false">16-COUNT(03_CLEAN_DATA!$P$34:$P$49)</f>
        <v>0</v>
      </c>
      <c r="K18" s="20" t="n">
        <f aca="false">16-COUNT(03_CLEAN_DATA!$P$50:$P$65)</f>
        <v>0</v>
      </c>
      <c r="L18" s="9" t="s">
        <v>247</v>
      </c>
      <c r="M18" s="21" t="s">
        <v>264</v>
      </c>
    </row>
    <row r="19" customFormat="false" ht="39.75" hidden="false" customHeight="true" outlineLevel="0" collapsed="false">
      <c r="A19" s="7" t="s">
        <v>100</v>
      </c>
      <c r="B19" s="7" t="str">
        <f aca="false">01_README!$C$40</f>
        <v>TX.VAL.MRCH.CD.WT</v>
      </c>
      <c r="C19" s="7" t="s">
        <v>47</v>
      </c>
      <c r="D19" s="20" t="n">
        <f aca="false">ROWS(03_CLEAN_DATA!$Q$2:$Q$65)-COUNT(03_CLEAN_DATA!$Q$2:$Q$65)</f>
        <v>0</v>
      </c>
      <c r="E19" s="20" t="n">
        <f aca="false">68-SUMPRODUCT((02_RAW_DATA!$D$2:$D$57=B19)*ISNUMBER(02_RAW_DATA!$E$2:$U$57))</f>
        <v>0</v>
      </c>
      <c r="F19" s="7" t="str">
        <f aca="false">_xlfn.MINIFS(03_CLEAN_DATA!$C$2:$C$65,03_CLEAN_DATA!$Q$2:$Q$65,"&gt;-1E+300")&amp;"-"&amp;_xlfn.MAXIFS(03_CLEAN_DATA!$C$2:$C$65,03_CLEAN_DATA!$Q$2:$Q$65,"&gt;-1E+300")</f>
        <v>2010-2025</v>
      </c>
      <c r="G19" s="21" t="s">
        <v>265</v>
      </c>
      <c r="H19" s="20" t="n">
        <f aca="false">16-COUNT(03_CLEAN_DATA!$Q$2:$Q$17)</f>
        <v>0</v>
      </c>
      <c r="I19" s="20" t="n">
        <f aca="false">16-COUNT(03_CLEAN_DATA!$Q$18:$Q$33)</f>
        <v>0</v>
      </c>
      <c r="J19" s="20" t="n">
        <f aca="false">16-COUNT(03_CLEAN_DATA!$Q$34:$Q$49)</f>
        <v>0</v>
      </c>
      <c r="K19" s="20" t="n">
        <f aca="false">16-COUNT(03_CLEAN_DATA!$Q$50:$Q$65)</f>
        <v>0</v>
      </c>
      <c r="L19" s="9" t="s">
        <v>247</v>
      </c>
      <c r="M19" s="21" t="s">
        <v>266</v>
      </c>
    </row>
    <row r="20" customFormat="false" ht="15" hidden="false" customHeight="false" outlineLevel="0" collapsed="false">
      <c r="A20" s="2" t="s">
        <v>267</v>
      </c>
      <c r="D20" s="22" t="n">
        <f aca="false">SUM(D6:D19)</f>
        <v>0</v>
      </c>
      <c r="E20" s="22" t="n">
        <f aca="false">SUM(E6:E19)</f>
        <v>0</v>
      </c>
    </row>
    <row r="21" customFormat="false" ht="15" hidden="false" customHeight="false" outlineLevel="0" collapsed="false">
      <c r="A21" s="2" t="s">
        <v>268</v>
      </c>
      <c r="D21" s="7" t="s">
        <v>167</v>
      </c>
      <c r="E21" s="20" t="n">
        <f aca="false">COUNTIF(04_CALCULATIONS!$J$2:$J$65,"?*")-COUNTIF(04_CALCULATIONS!$J$2:$J$65,"MISSING")</f>
        <v>7</v>
      </c>
      <c r="F21" s="7" t="s">
        <v>171</v>
      </c>
      <c r="G21" s="20" t="n">
        <f aca="false">COUNTIF(04_CALCULATIONS!$N$2:$N$65,"?*")-COUNTIF(04_CALCULATIONS!$N$2:$N$65,"MISSING")</f>
        <v>3</v>
      </c>
      <c r="H21" s="9" t="s">
        <v>269</v>
      </c>
    </row>
    <row r="23" customFormat="false" ht="15" hidden="false" customHeight="false" outlineLevel="0" collapsed="false">
      <c r="A23" s="4" t="s">
        <v>270</v>
      </c>
    </row>
    <row r="24" customFormat="false" ht="21.75" hidden="false" customHeight="true" outlineLevel="0" collapsed="false">
      <c r="A24" s="6" t="s">
        <v>271</v>
      </c>
      <c r="B24" s="6" t="s">
        <v>272</v>
      </c>
      <c r="C24" s="6" t="s">
        <v>273</v>
      </c>
      <c r="D24" s="6" t="s">
        <v>274</v>
      </c>
    </row>
    <row r="25" customFormat="false" ht="15" hidden="false" customHeight="false" outlineLevel="0" collapsed="false">
      <c r="A25" s="7" t="s">
        <v>275</v>
      </c>
      <c r="B25" s="20" t="n">
        <f aca="false">COUNTA(03_CLEAN_DATA!$A$2:$A$65)</f>
        <v>64</v>
      </c>
      <c r="C25" s="8" t="n">
        <v>64</v>
      </c>
      <c r="D25" s="7" t="str">
        <f aca="false">IF(B25=C25,"OK","CHECK")</f>
        <v>OK</v>
      </c>
    </row>
    <row r="26" customFormat="false" ht="15" hidden="false" customHeight="false" outlineLevel="0" collapsed="false">
      <c r="A26" s="7" t="s">
        <v>276</v>
      </c>
      <c r="B26" s="20" t="n">
        <f aca="false">SUMPRODUCT(--(COUNTIFS(03_CLEAN_DATA!$B$2:$B$65,03_CLEAN_DATA!$B$2:$B$65,03_CLEAN_DATA!$C$2:$C$65,03_CLEAN_DATA!$C$2:$C$65)&gt;1))</f>
        <v>0</v>
      </c>
      <c r="C26" s="8" t="n">
        <v>0</v>
      </c>
      <c r="D26" s="7" t="str">
        <f aca="false">IF(B26=C26,"OK","CHECK")</f>
        <v>OK</v>
      </c>
    </row>
    <row r="27" customFormat="false" ht="15" hidden="false" customHeight="false" outlineLevel="0" collapsed="false">
      <c r="A27" s="7" t="s">
        <v>277</v>
      </c>
      <c r="B27" s="23" t="n">
        <f aca="false">SUMPRODUCT(MAX(ABS(03_CLEAN_DATA!$G$2:$G$65/03_CLEAN_DATA!$D$2:$D$65*100-03_CLEAN_DATA!$J$2:$J$65)))</f>
        <v>4.9737991503207E-013</v>
      </c>
      <c r="C27" s="8" t="n">
        <v>0</v>
      </c>
      <c r="D27" s="7" t="str">
        <f aca="false">IF(ABS(B27)&lt;0.000001,"OK","CHECK")</f>
        <v>OK</v>
      </c>
    </row>
    <row r="28" customFormat="false" ht="15" hidden="false" customHeight="false" outlineLevel="0" collapsed="false">
      <c r="A28" s="7" t="s">
        <v>278</v>
      </c>
      <c r="B28" s="23" t="n">
        <f aca="false">SUMPRODUCT(MAX(ABS(03_CLEAN_DATA!$I$2:$I$65/03_CLEAN_DATA!$D$2:$D$65*100-03_CLEAN_DATA!$K$2:$K$65)))</f>
        <v>6.96331881044898E-013</v>
      </c>
      <c r="C28" s="8" t="n">
        <v>0</v>
      </c>
      <c r="D28" s="7" t="str">
        <f aca="false">IF(ABS(B28)&lt;0.000001,"OK","CHECK")</f>
        <v>OK</v>
      </c>
    </row>
    <row r="29" customFormat="false" ht="15" hidden="false" customHeight="false" outlineLevel="0" collapsed="false">
      <c r="A29" s="7" t="s">
        <v>279</v>
      </c>
      <c r="B29" s="23" t="n">
        <f aca="false">MAX(04_CALCULATIONS!$G$2:$G$65)-MIN(04_CALCULATIONS!$G$2:$G$65)</f>
        <v>1.79056769411545E-012</v>
      </c>
      <c r="C29" s="8" t="n">
        <v>0</v>
      </c>
      <c r="D29" s="7" t="str">
        <f aca="false">IF(ABS(B29)&lt;0.000001,"OK","CHECK")</f>
        <v>OK</v>
      </c>
    </row>
    <row r="30" customFormat="false" ht="15" hidden="false" customHeight="false" outlineLevel="0" collapsed="false">
      <c r="A30" s="7" t="s">
        <v>280</v>
      </c>
      <c r="B30" s="23" t="n">
        <f aca="false">SUMPRODUCT(MAX(ABS(03_CLEAN_DATA!$J$2:$J$65+03_CLEAN_DATA!$K$2:$K$65-03_CLEAN_DATA!$L$2:$L$65)))</f>
        <v>5.11590769747272E-013</v>
      </c>
      <c r="C30" s="8" t="n">
        <v>0</v>
      </c>
      <c r="D30" s="7" t="str">
        <f aca="false">IF(ABS(B30)&lt;0.000001,"OK","CHECK")</f>
        <v>OK</v>
      </c>
    </row>
    <row r="31" customFormat="false" ht="15" hidden="false" customHeight="false" outlineLevel="0" collapsed="false">
      <c r="A31" s="7" t="s">
        <v>281</v>
      </c>
      <c r="B31" s="23" t="n">
        <f aca="false">SUMPRODUCT(MAX(ABS(03_CLEAN_DATA!$M$2:$M$65/03_CLEAN_DATA!$D$2:$D$65*100-03_CLEAN_DATA!$N$2:$N$65)))</f>
        <v>4.9737991503207E-013</v>
      </c>
      <c r="C31" s="8" t="n">
        <v>0</v>
      </c>
      <c r="D31" s="7" t="str">
        <f aca="false">IF(ABS(B31)&lt;0.000001,"OK","CHECK")</f>
        <v>OK</v>
      </c>
    </row>
    <row r="32" customFormat="false" ht="15" hidden="false" customHeight="false" outlineLevel="0" collapsed="false">
      <c r="A32" s="7" t="s">
        <v>282</v>
      </c>
      <c r="B32" s="20" t="n">
        <f aca="false">SUMPRODUCT(--(03_CLEAN_DATA!$Q$2:$Q$65/03_CLEAN_DATA!$G$2:$G$65&gt;1))</f>
        <v>14</v>
      </c>
      <c r="C32" s="8" t="n">
        <v>0</v>
      </c>
      <c r="D32" s="7" t="str">
        <f aca="false">IF(B32=C32,"OK","FLAG (definitional - see notes)")</f>
        <v>FLAG (definitional - see notes)</v>
      </c>
    </row>
    <row r="33" customFormat="false" ht="15" hidden="false" customHeight="false" outlineLevel="0" collapsed="false">
      <c r="A33" s="7" t="s">
        <v>283</v>
      </c>
      <c r="B33" s="20" t="n">
        <f aca="false">D20</f>
        <v>0</v>
      </c>
      <c r="C33" s="8" t="n">
        <v>0</v>
      </c>
      <c r="D33" s="7" t="str">
        <f aca="false">IF(B33=C33,"OK","CHECK")</f>
        <v>OK</v>
      </c>
    </row>
    <row r="35" customFormat="false" ht="15" hidden="false" customHeight="false" outlineLevel="0" collapsed="false">
      <c r="A35" s="4" t="s">
        <v>284</v>
      </c>
    </row>
    <row r="36" customFormat="false" ht="48" hidden="false" customHeight="true" outlineLevel="0" collapsed="false">
      <c r="A36" s="6" t="s">
        <v>162</v>
      </c>
      <c r="B36" s="6" t="s">
        <v>137</v>
      </c>
      <c r="C36" s="6" t="s">
        <v>285</v>
      </c>
      <c r="D36" s="6" t="s">
        <v>286</v>
      </c>
      <c r="E36" s="6" t="s">
        <v>287</v>
      </c>
      <c r="F36" s="6" t="s">
        <v>288</v>
      </c>
      <c r="G36" s="6" t="s">
        <v>289</v>
      </c>
      <c r="H36" s="6" t="s">
        <v>290</v>
      </c>
      <c r="I36" s="6" t="s">
        <v>291</v>
      </c>
      <c r="J36" s="6" t="s">
        <v>292</v>
      </c>
      <c r="K36" s="6" t="s">
        <v>293</v>
      </c>
    </row>
    <row r="37" customFormat="false" ht="15" hidden="false" customHeight="false" outlineLevel="0" collapsed="false">
      <c r="A37" s="7" t="s">
        <v>294</v>
      </c>
      <c r="B37" s="7" t="s">
        <v>128</v>
      </c>
      <c r="C37" s="11" t="n">
        <f aca="false">AVERAGE(03_CLEAN_DATA!$J$2:$J$17)</f>
        <v>82.9522205551762</v>
      </c>
      <c r="D37" s="11" t="n">
        <f aca="false">MEDIAN(03_CLEAN_DATA!$J$2:$J$17)</f>
        <v>84.3952823535939</v>
      </c>
      <c r="E37" s="11" t="n">
        <f aca="false">MIN(03_CLEAN_DATA!$J$2:$J$17)</f>
        <v>72.6304321068483</v>
      </c>
      <c r="F37" s="11" t="n">
        <f aca="false">MAX(03_CLEAN_DATA!$J$2:$J$17)</f>
        <v>89.810135261602</v>
      </c>
      <c r="G37" s="11" t="n">
        <f aca="false">STDEV(03_CLEAN_DATA!$J$2:$J$17)</f>
        <v>4.65662197269409</v>
      </c>
      <c r="H37" s="11" t="n">
        <f aca="false">03_CLEAN_DATA!J2</f>
        <v>81.2535035455015</v>
      </c>
      <c r="I37" s="11" t="n">
        <f aca="false">03_CLEAN_DATA!J17</f>
        <v>72.6304321068483</v>
      </c>
      <c r="J37" s="11" t="n">
        <f aca="false">IF(OR(H37="",I37=""),"",I37-H37)</f>
        <v>-8.6230714386532</v>
      </c>
      <c r="K37" s="24" t="n">
        <f aca="false">IF(OR(H37="",I37=""),"",I37/H37-1)</f>
        <v>-0.106125533821743</v>
      </c>
    </row>
    <row r="38" customFormat="false" ht="15" hidden="false" customHeight="false" outlineLevel="0" collapsed="false">
      <c r="A38" s="7" t="s">
        <v>294</v>
      </c>
      <c r="B38" s="7" t="s">
        <v>130</v>
      </c>
      <c r="C38" s="11" t="n">
        <f aca="false">AVERAGE(03_CLEAN_DATA!$J$18:$J$33)</f>
        <v>50.2289593183504</v>
      </c>
      <c r="D38" s="11" t="n">
        <f aca="false">MEDIAN(03_CLEAN_DATA!$J$18:$J$33)</f>
        <v>50.8215463386662</v>
      </c>
      <c r="E38" s="11" t="n">
        <f aca="false">MIN(03_CLEAN_DATA!$J$18:$J$33)</f>
        <v>39.8922068463219</v>
      </c>
      <c r="F38" s="11" t="n">
        <f aca="false">MAX(03_CLEAN_DATA!$J$18:$J$33)</f>
        <v>62.3525162455456</v>
      </c>
      <c r="G38" s="11" t="n">
        <f aca="false">STDEV(03_CLEAN_DATA!$J$18:$J$33)</f>
        <v>5.92123372267146</v>
      </c>
      <c r="H38" s="11" t="n">
        <f aca="false">03_CLEAN_DATA!J18</f>
        <v>39.8922068463219</v>
      </c>
      <c r="I38" s="11" t="n">
        <f aca="false">03_CLEAN_DATA!J33</f>
        <v>49.9505650987029</v>
      </c>
      <c r="J38" s="11" t="n">
        <f aca="false">IF(OR(H38="",I38=""),"",I38-H38)</f>
        <v>10.058358252381</v>
      </c>
      <c r="K38" s="24" t="n">
        <f aca="false">IF(OR(H38="",I38=""),"",I38/H38-1)</f>
        <v>0.252138426212648</v>
      </c>
    </row>
    <row r="39" customFormat="false" ht="15" hidden="false" customHeight="false" outlineLevel="0" collapsed="false">
      <c r="A39" s="7" t="s">
        <v>294</v>
      </c>
      <c r="B39" s="7" t="s">
        <v>132</v>
      </c>
      <c r="C39" s="11" t="n">
        <f aca="false">AVERAGE(03_CLEAN_DATA!$J$34:$J$49)</f>
        <v>72.8528512349427</v>
      </c>
      <c r="D39" s="11" t="n">
        <f aca="false">MEDIAN(03_CLEAN_DATA!$J$34:$J$49)</f>
        <v>72.2671396407285</v>
      </c>
      <c r="E39" s="11" t="n">
        <f aca="false">MIN(03_CLEAN_DATA!$J$34:$J$49)</f>
        <v>64.8915980155479</v>
      </c>
      <c r="F39" s="11" t="n">
        <f aca="false">MAX(03_CLEAN_DATA!$J$34:$J$49)</f>
        <v>81.3510352122697</v>
      </c>
      <c r="G39" s="11" t="n">
        <f aca="false">STDEV(03_CLEAN_DATA!$J$34:$J$49)</f>
        <v>4.94855292050016</v>
      </c>
      <c r="H39" s="11" t="n">
        <f aca="false">03_CLEAN_DATA!J34</f>
        <v>64.8915980155479</v>
      </c>
      <c r="I39" s="11" t="n">
        <f aca="false">03_CLEAN_DATA!J49</f>
        <v>66.9450959346234</v>
      </c>
      <c r="J39" s="11" t="n">
        <f aca="false">IF(OR(H39="",I39=""),"",I39-H39)</f>
        <v>2.0534979190755</v>
      </c>
      <c r="K39" s="24" t="n">
        <f aca="false">IF(OR(H39="",I39=""),"",I39/H39-1)</f>
        <v>0.0316450508520916</v>
      </c>
    </row>
    <row r="40" customFormat="false" ht="15" hidden="false" customHeight="false" outlineLevel="0" collapsed="false">
      <c r="A40" s="7" t="s">
        <v>294</v>
      </c>
      <c r="B40" s="7" t="s">
        <v>134</v>
      </c>
      <c r="C40" s="11" t="n">
        <f aca="false">AVERAGE(03_CLEAN_DATA!$J$50:$J$65)</f>
        <v>89.7418927420823</v>
      </c>
      <c r="D40" s="11" t="n">
        <f aca="false">MEDIAN(03_CLEAN_DATA!$J$50:$J$65)</f>
        <v>90.8353622162611</v>
      </c>
      <c r="E40" s="11" t="n">
        <f aca="false">MIN(03_CLEAN_DATA!$J$50:$J$65)</f>
        <v>77.0810820862371</v>
      </c>
      <c r="F40" s="11" t="n">
        <f aca="false">MAX(03_CLEAN_DATA!$J$50:$J$65)</f>
        <v>99.0674933921507</v>
      </c>
      <c r="G40" s="11" t="n">
        <f aca="false">STDEV(03_CLEAN_DATA!$J$50:$J$65)</f>
        <v>5.26033735212125</v>
      </c>
      <c r="H40" s="11" t="n">
        <f aca="false">03_CLEAN_DATA!J50</f>
        <v>77.0810820862371</v>
      </c>
      <c r="I40" s="11" t="n">
        <f aca="false">03_CLEAN_DATA!J65</f>
        <v>85.0946294110273</v>
      </c>
      <c r="J40" s="11" t="n">
        <f aca="false">IF(OR(H40="",I40=""),"",I40-H40)</f>
        <v>8.0135473247902</v>
      </c>
      <c r="K40" s="24" t="n">
        <f aca="false">IF(OR(H40="",I40=""),"",I40/H40-1)</f>
        <v>0.103962569127205</v>
      </c>
    </row>
    <row r="41" customFormat="false" ht="15" hidden="false" customHeight="false" outlineLevel="0" collapsed="false">
      <c r="A41" s="7" t="s">
        <v>295</v>
      </c>
      <c r="B41" s="7" t="s">
        <v>128</v>
      </c>
      <c r="C41" s="11" t="n">
        <f aca="false">AVERAGE(03_CLEAN_DATA!$L$2:$L$17)</f>
        <v>161.783413672551</v>
      </c>
      <c r="D41" s="11" t="n">
        <f aca="false">MEDIAN(03_CLEAN_DATA!$L$2:$L$17)</f>
        <v>163.336401639038</v>
      </c>
      <c r="E41" s="11" t="n">
        <f aca="false">MIN(03_CLEAN_DATA!$L$2:$L$17)</f>
        <v>140.779303903333</v>
      </c>
      <c r="F41" s="11" t="n">
        <f aca="false">MAX(03_CLEAN_DATA!$L$2:$L$17)</f>
        <v>184.969952581351</v>
      </c>
      <c r="G41" s="11" t="n">
        <f aca="false">STDEV(03_CLEAN_DATA!$L$2:$L$17)</f>
        <v>9.66167677970285</v>
      </c>
      <c r="H41" s="11" t="n">
        <f aca="false">03_CLEAN_DATA!L2</f>
        <v>157.838960085896</v>
      </c>
      <c r="I41" s="11" t="n">
        <f aca="false">03_CLEAN_DATA!L17</f>
        <v>140.779303903333</v>
      </c>
      <c r="J41" s="11" t="n">
        <f aca="false">IF(OR(H41="",I41=""),"",I41-H41)</f>
        <v>-17.059656182563</v>
      </c>
      <c r="K41" s="24" t="n">
        <f aca="false">IF(OR(H41="",I41=""),"",I41/H41-1)</f>
        <v>-0.108082669660768</v>
      </c>
    </row>
    <row r="42" customFormat="false" ht="15" hidden="false" customHeight="false" outlineLevel="0" collapsed="false">
      <c r="A42" s="7" t="s">
        <v>295</v>
      </c>
      <c r="B42" s="7" t="s">
        <v>130</v>
      </c>
      <c r="C42" s="11" t="n">
        <f aca="false">AVERAGE(03_CLEAN_DATA!$L$18:$L$33)</f>
        <v>98.4194350270689</v>
      </c>
      <c r="D42" s="11" t="n">
        <f aca="false">MEDIAN(03_CLEAN_DATA!$L$18:$L$33)</f>
        <v>98.1446367423133</v>
      </c>
      <c r="E42" s="11" t="n">
        <f aca="false">MIN(03_CLEAN_DATA!$L$18:$L$33)</f>
        <v>82.2258523219922</v>
      </c>
      <c r="F42" s="11" t="n">
        <f aca="false">MAX(03_CLEAN_DATA!$L$18:$L$33)</f>
        <v>123.021332860345</v>
      </c>
      <c r="G42" s="11" t="n">
        <f aca="false">STDEV(03_CLEAN_DATA!$L$18:$L$33)</f>
        <v>10.2104747153476</v>
      </c>
      <c r="H42" s="11" t="n">
        <f aca="false">03_CLEAN_DATA!L18</f>
        <v>82.2258523219922</v>
      </c>
      <c r="I42" s="11" t="n">
        <f aca="false">03_CLEAN_DATA!L33</f>
        <v>97.0301822542829</v>
      </c>
      <c r="J42" s="11" t="n">
        <f aca="false">IF(OR(H42="",I42=""),"",I42-H42)</f>
        <v>14.8043299322907</v>
      </c>
      <c r="K42" s="24" t="n">
        <f aca="false">IF(OR(H42="",I42=""),"",I42/H42-1)</f>
        <v>0.180044712389453</v>
      </c>
    </row>
    <row r="43" customFormat="false" ht="15" hidden="false" customHeight="false" outlineLevel="0" collapsed="false">
      <c r="A43" s="7" t="s">
        <v>295</v>
      </c>
      <c r="B43" s="7" t="s">
        <v>132</v>
      </c>
      <c r="C43" s="11" t="n">
        <f aca="false">AVERAGE(03_CLEAN_DATA!$L$34:$L$49)</f>
        <v>140.380383588967</v>
      </c>
      <c r="D43" s="11" t="n">
        <f aca="false">MEDIAN(03_CLEAN_DATA!$L$34:$L$49)</f>
        <v>141.083052051634</v>
      </c>
      <c r="E43" s="11" t="n">
        <f aca="false">MIN(03_CLEAN_DATA!$L$34:$L$49)</f>
        <v>126.756480116798</v>
      </c>
      <c r="F43" s="11" t="n">
        <f aca="false">MAX(03_CLEAN_DATA!$L$34:$L$49)</f>
        <v>156.415122826886</v>
      </c>
      <c r="G43" s="11" t="n">
        <f aca="false">STDEV(03_CLEAN_DATA!$L$34:$L$49)</f>
        <v>9.3214088951164</v>
      </c>
      <c r="H43" s="11" t="n">
        <f aca="false">03_CLEAN_DATA!L34</f>
        <v>126.756480116798</v>
      </c>
      <c r="I43" s="11" t="n">
        <f aca="false">03_CLEAN_DATA!L49</f>
        <v>128.039437374276</v>
      </c>
      <c r="J43" s="11" t="n">
        <f aca="false">IF(OR(H43="",I43=""),"",I43-H43)</f>
        <v>1.28295725747799</v>
      </c>
      <c r="K43" s="24" t="n">
        <f aca="false">IF(OR(H43="",I43=""),"",I43/H43-1)</f>
        <v>0.0101214332892159</v>
      </c>
    </row>
    <row r="44" customFormat="false" ht="15" hidden="false" customHeight="false" outlineLevel="0" collapsed="false">
      <c r="A44" s="7" t="s">
        <v>295</v>
      </c>
      <c r="B44" s="7" t="s">
        <v>134</v>
      </c>
      <c r="C44" s="11" t="n">
        <f aca="false">AVERAGE(03_CLEAN_DATA!$L$50:$L$65)</f>
        <v>178.544674577077</v>
      </c>
      <c r="D44" s="11" t="n">
        <f aca="false">MEDIAN(03_CLEAN_DATA!$L$50:$L$65)</f>
        <v>180.164579693244</v>
      </c>
      <c r="E44" s="11" t="n">
        <f aca="false">MIN(03_CLEAN_DATA!$L$50:$L$65)</f>
        <v>155.108497681586</v>
      </c>
      <c r="F44" s="11" t="n">
        <f aca="false">MAX(03_CLEAN_DATA!$L$50:$L$65)</f>
        <v>204.056318531151</v>
      </c>
      <c r="G44" s="11" t="n">
        <f aca="false">STDEV(03_CLEAN_DATA!$L$50:$L$65)</f>
        <v>10.8811246651043</v>
      </c>
      <c r="H44" s="11" t="n">
        <f aca="false">03_CLEAN_DATA!L50</f>
        <v>155.108497681586</v>
      </c>
      <c r="I44" s="11" t="n">
        <f aca="false">03_CLEAN_DATA!L65</f>
        <v>170.342496403331</v>
      </c>
      <c r="J44" s="11" t="n">
        <f aca="false">IF(OR(H44="",I44=""),"",I44-H44)</f>
        <v>15.233998721745</v>
      </c>
      <c r="K44" s="24" t="n">
        <f aca="false">IF(OR(H44="",I44=""),"",I44/H44-1)</f>
        <v>0.0982151136104619</v>
      </c>
    </row>
    <row r="45" customFormat="false" ht="15" hidden="false" customHeight="false" outlineLevel="0" collapsed="false">
      <c r="A45" s="7" t="s">
        <v>296</v>
      </c>
      <c r="B45" s="7" t="s">
        <v>128</v>
      </c>
      <c r="C45" s="11" t="n">
        <f aca="false">AVERAGE(03_CLEAN_DATA!$E$2:$E$17)</f>
        <v>2.27223375027868</v>
      </c>
      <c r="D45" s="11" t="n">
        <f aca="false">MEDIAN(03_CLEAN_DATA!$E$2:$E$17)</f>
        <v>2.23540565993744</v>
      </c>
      <c r="E45" s="11" t="n">
        <f aca="false">MIN(03_CLEAN_DATA!$E$2:$E$17)</f>
        <v>-4.33872540024058</v>
      </c>
      <c r="F45" s="11" t="n">
        <f aca="false">MAX(03_CLEAN_DATA!$E$2:$E$17)</f>
        <v>7.22291580811137</v>
      </c>
      <c r="G45" s="11" t="n">
        <f aca="false">STDEV(03_CLEAN_DATA!$E$2:$E$17)</f>
        <v>2.94550746064202</v>
      </c>
      <c r="H45" s="11" t="n">
        <f aca="false">03_CLEAN_DATA!E2</f>
        <v>1.06795068152046</v>
      </c>
      <c r="I45" s="11" t="n">
        <f aca="false">03_CLEAN_DATA!E17</f>
        <v>0.509542309726868</v>
      </c>
      <c r="J45" s="11" t="n">
        <f aca="false">IF(OR(H45="",I45=""),"",I45-H45)</f>
        <v>-0.558408371793592</v>
      </c>
      <c r="K45" s="9" t="s">
        <v>297</v>
      </c>
    </row>
    <row r="46" customFormat="false" ht="15" hidden="false" customHeight="false" outlineLevel="0" collapsed="false">
      <c r="A46" s="7" t="s">
        <v>296</v>
      </c>
      <c r="B46" s="7" t="s">
        <v>130</v>
      </c>
      <c r="C46" s="11" t="n">
        <f aca="false">AVERAGE(03_CLEAN_DATA!$E$18:$E$33)</f>
        <v>3.43627893743739</v>
      </c>
      <c r="D46" s="11" t="n">
        <f aca="false">MEDIAN(03_CLEAN_DATA!$E$18:$E$33)</f>
        <v>3.74661682928886</v>
      </c>
      <c r="E46" s="11" t="n">
        <f aca="false">MIN(03_CLEAN_DATA!$E$18:$E$33)</f>
        <v>-2.03556882399977</v>
      </c>
      <c r="F46" s="11" t="n">
        <f aca="false">MAX(03_CLEAN_DATA!$E$18:$E$33)</f>
        <v>6.92718266052501</v>
      </c>
      <c r="G46" s="11" t="n">
        <f aca="false">STDEV(03_CLEAN_DATA!$E$18:$E$33)</f>
        <v>2.36604880097824</v>
      </c>
      <c r="H46" s="11" t="n">
        <f aca="false">03_CLEAN_DATA!E18</f>
        <v>3.16892748258036</v>
      </c>
      <c r="I46" s="11" t="n">
        <f aca="false">03_CLEAN_DATA!E33</f>
        <v>3.5727250346774</v>
      </c>
      <c r="J46" s="11" t="n">
        <f aca="false">IF(OR(H46="",I46=""),"",I46-H46)</f>
        <v>0.40379755209704</v>
      </c>
      <c r="K46" s="9" t="s">
        <v>297</v>
      </c>
    </row>
    <row r="47" customFormat="false" ht="15" hidden="false" customHeight="false" outlineLevel="0" collapsed="false">
      <c r="A47" s="7" t="s">
        <v>296</v>
      </c>
      <c r="B47" s="7" t="s">
        <v>132</v>
      </c>
      <c r="C47" s="11" t="n">
        <f aca="false">AVERAGE(03_CLEAN_DATA!$E$34:$E$49)</f>
        <v>1.90498258668847</v>
      </c>
      <c r="D47" s="11" t="n">
        <f aca="false">MEDIAN(03_CLEAN_DATA!$E$34:$E$49)</f>
        <v>2.58066843607407</v>
      </c>
      <c r="E47" s="11" t="n">
        <f aca="false">MIN(03_CLEAN_DATA!$E$34:$E$49)</f>
        <v>-5.30487955463876</v>
      </c>
      <c r="F47" s="11" t="n">
        <f aca="false">MAX(03_CLEAN_DATA!$E$34:$E$49)</f>
        <v>5.17356529967881</v>
      </c>
      <c r="G47" s="11" t="n">
        <f aca="false">STDEV(03_CLEAN_DATA!$E$34:$E$49)</f>
        <v>2.54994606424853</v>
      </c>
      <c r="H47" s="11" t="n">
        <f aca="false">03_CLEAN_DATA!E34</f>
        <v>2.71466509907701</v>
      </c>
      <c r="I47" s="11" t="n">
        <f aca="false">03_CLEAN_DATA!E49</f>
        <v>2.58046673293437</v>
      </c>
      <c r="J47" s="11" t="n">
        <f aca="false">IF(OR(H47="",I47=""),"",I47-H47)</f>
        <v>-0.13419836614264</v>
      </c>
      <c r="K47" s="9" t="s">
        <v>297</v>
      </c>
    </row>
    <row r="48" customFormat="false" ht="15" hidden="false" customHeight="false" outlineLevel="0" collapsed="false">
      <c r="A48" s="7" t="s">
        <v>296</v>
      </c>
      <c r="B48" s="7" t="s">
        <v>134</v>
      </c>
      <c r="C48" s="11" t="n">
        <f aca="false">AVERAGE(03_CLEAN_DATA!$E$50:$E$65)</f>
        <v>2.44653560222883</v>
      </c>
      <c r="D48" s="11" t="n">
        <f aca="false">MEDIAN(03_CLEAN_DATA!$E$50:$E$65)</f>
        <v>2.19426771617176</v>
      </c>
      <c r="E48" s="11" t="n">
        <f aca="false">MIN(03_CLEAN_DATA!$E$50:$E$65)</f>
        <v>-2.58551241733207</v>
      </c>
      <c r="F48" s="11" t="n">
        <f aca="false">MAX(03_CLEAN_DATA!$E$50:$E$65)</f>
        <v>6.79058159142423</v>
      </c>
      <c r="G48" s="11" t="n">
        <f aca="false">STDEV(03_CLEAN_DATA!$E$50:$E$65)</f>
        <v>2.24472577844103</v>
      </c>
      <c r="H48" s="11" t="n">
        <f aca="false">03_CLEAN_DATA!E50</f>
        <v>6.79058159142423</v>
      </c>
      <c r="I48" s="11" t="n">
        <f aca="false">03_CLEAN_DATA!E65</f>
        <v>0.807418690144758</v>
      </c>
      <c r="J48" s="11" t="n">
        <f aca="false">IF(OR(H48="",I48=""),"",I48-H48)</f>
        <v>-5.98316290127947</v>
      </c>
      <c r="K48" s="9" t="s">
        <v>297</v>
      </c>
    </row>
    <row r="49" customFormat="false" ht="15" hidden="false" customHeight="false" outlineLevel="0" collapsed="false">
      <c r="A49" s="7" t="s">
        <v>298</v>
      </c>
      <c r="B49" s="7" t="s">
        <v>128</v>
      </c>
      <c r="C49" s="11" t="n">
        <f aca="false">AVERAGE(04_CALCULATIONS!$D$2:$D$17)</f>
        <v>4.39140785594709</v>
      </c>
      <c r="D49" s="11" t="n">
        <f aca="false">MEDIAN(04_CALCULATIONS!$D$2:$D$17)</f>
        <v>5.22376579607283</v>
      </c>
      <c r="E49" s="11" t="n">
        <f aca="false">MIN(04_CALCULATIONS!$D$2:$D$17)</f>
        <v>-6.14474551665293</v>
      </c>
      <c r="F49" s="11" t="n">
        <f aca="false">MAX(04_CALCULATIONS!$D$2:$D$17)</f>
        <v>11.1175298333013</v>
      </c>
      <c r="G49" s="11" t="n">
        <f aca="false">STDEV(04_CALCULATIONS!$D$2:$D$17)</f>
        <v>4.84001457475778</v>
      </c>
      <c r="H49" s="11" t="n">
        <f aca="false">04_CALCULATIONS!D2</f>
        <v>11.1175298333013</v>
      </c>
      <c r="I49" s="11" t="n">
        <f aca="false">04_CALCULATIONS!D17</f>
        <v>-1.08279998608553</v>
      </c>
      <c r="J49" s="11" t="n">
        <f aca="false">IF(OR(H49="",I49=""),"",I49-H49)</f>
        <v>-12.2003298193868</v>
      </c>
      <c r="K49" s="9" t="s">
        <v>297</v>
      </c>
    </row>
    <row r="50" customFormat="false" ht="15" hidden="false" customHeight="false" outlineLevel="0" collapsed="false">
      <c r="A50" s="7" t="s">
        <v>298</v>
      </c>
      <c r="B50" s="7" t="s">
        <v>130</v>
      </c>
      <c r="C50" s="11" t="n">
        <f aca="false">AVERAGE(04_CALCULATIONS!$D$18:$D$33)</f>
        <v>6.27493185710076</v>
      </c>
      <c r="D50" s="11" t="n">
        <f aca="false">MEDIAN(04_CALCULATIONS!$D$18:$D$33)</f>
        <v>6.05314763268113</v>
      </c>
      <c r="E50" s="11" t="n">
        <f aca="false">MIN(04_CALCULATIONS!$D$18:$D$33)</f>
        <v>-1.07566234288528</v>
      </c>
      <c r="F50" s="11" t="n">
        <f aca="false">MAX(04_CALCULATIONS!$D$18:$D$33)</f>
        <v>12.5897225593362</v>
      </c>
      <c r="G50" s="11" t="n">
        <f aca="false">STDEV(04_CALCULATIONS!$D$18:$D$33)</f>
        <v>3.51862223494738</v>
      </c>
      <c r="H50" s="11" t="n">
        <f aca="false">04_CALCULATIONS!D18</f>
        <v>12.5897225593362</v>
      </c>
      <c r="I50" s="11" t="n">
        <f aca="false">04_CALCULATIONS!D33</f>
        <v>4.48112657246167</v>
      </c>
      <c r="J50" s="11" t="n">
        <f aca="false">IF(OR(H50="",I50=""),"",I50-H50)</f>
        <v>-8.10859598687452</v>
      </c>
      <c r="K50" s="9" t="s">
        <v>297</v>
      </c>
    </row>
    <row r="51" customFormat="false" ht="15" hidden="false" customHeight="false" outlineLevel="0" collapsed="false">
      <c r="A51" s="7" t="s">
        <v>298</v>
      </c>
      <c r="B51" s="7" t="s">
        <v>132</v>
      </c>
      <c r="C51" s="11" t="n">
        <f aca="false">AVERAGE(04_CALCULATIONS!$D$34:$D$49)</f>
        <v>4.47579989111853</v>
      </c>
      <c r="D51" s="11" t="n">
        <f aca="false">MEDIAN(04_CALCULATIONS!$D$34:$D$49)</f>
        <v>4.20930203585458</v>
      </c>
      <c r="E51" s="11" t="n">
        <f aca="false">MIN(04_CALCULATIONS!$D$34:$D$49)</f>
        <v>-8.51612580418187</v>
      </c>
      <c r="F51" s="11" t="n">
        <f aca="false">MAX(04_CALCULATIONS!$D$34:$D$49)</f>
        <v>14.6575067880562</v>
      </c>
      <c r="G51" s="11" t="n">
        <f aca="false">STDEV(04_CALCULATIONS!$D$34:$D$49)</f>
        <v>5.01922025512615</v>
      </c>
      <c r="H51" s="11" t="n">
        <f aca="false">04_CALCULATIONS!D34</f>
        <v>14.6575067880562</v>
      </c>
      <c r="I51" s="11" t="n">
        <f aca="false">04_CALCULATIONS!D49</f>
        <v>3.90217049622543</v>
      </c>
      <c r="J51" s="11" t="n">
        <f aca="false">IF(OR(H51="",I51=""),"",I51-H51)</f>
        <v>-10.7553362918308</v>
      </c>
      <c r="K51" s="9" t="s">
        <v>297</v>
      </c>
    </row>
    <row r="52" customFormat="false" ht="15" hidden="false" customHeight="false" outlineLevel="0" collapsed="false">
      <c r="A52" s="7" t="s">
        <v>298</v>
      </c>
      <c r="B52" s="7" t="s">
        <v>134</v>
      </c>
      <c r="C52" s="11" t="n">
        <f aca="false">AVERAGE(04_CALCULATIONS!$D$50:$D$65)</f>
        <v>4.90972566771433</v>
      </c>
      <c r="D52" s="11" t="n">
        <f aca="false">MEDIAN(04_CALCULATIONS!$D$50:$D$65)</f>
        <v>4.44261324136747</v>
      </c>
      <c r="E52" s="11" t="n">
        <f aca="false">MIN(04_CALCULATIONS!$D$50:$D$65)</f>
        <v>-6.35535306900036</v>
      </c>
      <c r="F52" s="11" t="n">
        <f aca="false">MAX(04_CALCULATIONS!$D$50:$D$65)</f>
        <v>18.0367547456067</v>
      </c>
      <c r="G52" s="11" t="n">
        <f aca="false">STDEV(04_CALCULATIONS!$D$50:$D$65)</f>
        <v>5.53097815008236</v>
      </c>
      <c r="H52" s="11" t="n">
        <f aca="false">04_CALCULATIONS!D50</f>
        <v>18.0367547456067</v>
      </c>
      <c r="I52" s="11" t="n">
        <f aca="false">04_CALCULATIONS!D65</f>
        <v>3.98274673533641</v>
      </c>
      <c r="J52" s="11" t="n">
        <f aca="false">IF(OR(H52="",I52=""),"",I52-H52)</f>
        <v>-14.0540080102703</v>
      </c>
      <c r="K52" s="9" t="s">
        <v>297</v>
      </c>
    </row>
    <row r="53" customFormat="false" ht="15" hidden="false" customHeight="false" outlineLevel="0" collapsed="false">
      <c r="A53" s="7" t="s">
        <v>299</v>
      </c>
      <c r="B53" s="7" t="s">
        <v>128</v>
      </c>
      <c r="C53" s="11" t="n">
        <f aca="false">AVERAGE(03_CLEAN_DATA!$N$2:$N$17)</f>
        <v>6.26581974497461</v>
      </c>
      <c r="D53" s="11" t="n">
        <f aca="false">MEDIAN(03_CLEAN_DATA!$N$2:$N$17)</f>
        <v>-1.9011653633219</v>
      </c>
      <c r="E53" s="11" t="n">
        <f aca="false">MIN(03_CLEAN_DATA!$N$2:$N$17)</f>
        <v>-40.1082460169744</v>
      </c>
      <c r="F53" s="11" t="n">
        <f aca="false">MAX(03_CLEAN_DATA!$N$2:$N$17)</f>
        <v>105.635755544096</v>
      </c>
      <c r="G53" s="11" t="n">
        <f aca="false">STDEV(03_CLEAN_DATA!$N$2:$N$17)</f>
        <v>38.4306692209454</v>
      </c>
      <c r="H53" s="11" t="n">
        <f aca="false">03_CLEAN_DATA!N2</f>
        <v>-15.8854380283338</v>
      </c>
      <c r="I53" s="11" t="n">
        <f aca="false">03_CLEAN_DATA!N17</f>
        <v>-28.3736403614031</v>
      </c>
      <c r="J53" s="11" t="n">
        <f aca="false">IF(OR(H53="",I53=""),"",I53-H53)</f>
        <v>-12.4882023330693</v>
      </c>
      <c r="K53" s="9" t="s">
        <v>297</v>
      </c>
    </row>
    <row r="54" customFormat="false" ht="15" hidden="false" customHeight="false" outlineLevel="0" collapsed="false">
      <c r="A54" s="7" t="s">
        <v>299</v>
      </c>
      <c r="B54" s="7" t="s">
        <v>130</v>
      </c>
      <c r="C54" s="11" t="n">
        <f aca="false">AVERAGE(03_CLEAN_DATA!$N$18:$N$33)</f>
        <v>3.28550991491641</v>
      </c>
      <c r="D54" s="11" t="n">
        <f aca="false">MEDIAN(03_CLEAN_DATA!$N$18:$N$33)</f>
        <v>3.33151507027348</v>
      </c>
      <c r="E54" s="11" t="n">
        <f aca="false">MIN(03_CLEAN_DATA!$N$18:$N$33)</f>
        <v>0.258983446617592</v>
      </c>
      <c r="F54" s="11" t="n">
        <f aca="false">MAX(03_CLEAN_DATA!$N$18:$N$33)</f>
        <v>6.00626096603428</v>
      </c>
      <c r="G54" s="11" t="n">
        <f aca="false">STDEV(03_CLEAN_DATA!$N$18:$N$33)</f>
        <v>1.41803567262482</v>
      </c>
      <c r="H54" s="11" t="n">
        <f aca="false">03_CLEAN_DATA!N18</f>
        <v>3.94489462074706</v>
      </c>
      <c r="I54" s="11" t="n">
        <f aca="false">03_CLEAN_DATA!N33</f>
        <v>2.02222753667037</v>
      </c>
      <c r="J54" s="11" t="n">
        <f aca="false">IF(OR(H54="",I54=""),"",I54-H54)</f>
        <v>-1.92266708407669</v>
      </c>
      <c r="K54" s="9" t="s">
        <v>297</v>
      </c>
    </row>
    <row r="55" customFormat="false" ht="15" hidden="false" customHeight="false" outlineLevel="0" collapsed="false">
      <c r="A55" s="7" t="s">
        <v>299</v>
      </c>
      <c r="B55" s="7" t="s">
        <v>132</v>
      </c>
      <c r="C55" s="11" t="n">
        <f aca="false">AVERAGE(03_CLEAN_DATA!$N$34:$N$49)</f>
        <v>3.63816852476506</v>
      </c>
      <c r="D55" s="11" t="n">
        <f aca="false">MEDIAN(03_CLEAN_DATA!$N$34:$N$49)</f>
        <v>3.64448439899691</v>
      </c>
      <c r="E55" s="11" t="n">
        <f aca="false">MIN(03_CLEAN_DATA!$N$34:$N$49)</f>
        <v>0.898913491904098</v>
      </c>
      <c r="F55" s="11" t="n">
        <f aca="false">MAX(03_CLEAN_DATA!$N$34:$N$49)</f>
        <v>5.47566421423918</v>
      </c>
      <c r="G55" s="11" t="n">
        <f aca="false">STDEV(03_CLEAN_DATA!$N$34:$N$49)</f>
        <v>1.18120007627637</v>
      </c>
      <c r="H55" s="11" t="n">
        <f aca="false">03_CLEAN_DATA!N34</f>
        <v>4.81502985527419</v>
      </c>
      <c r="I55" s="11" t="n">
        <f aca="false">03_CLEAN_DATA!N49</f>
        <v>2.68622429295406</v>
      </c>
      <c r="J55" s="11" t="n">
        <f aca="false">IF(OR(H55="",I55=""),"",I55-H55)</f>
        <v>-2.12880556232013</v>
      </c>
      <c r="K55" s="9" t="s">
        <v>297</v>
      </c>
    </row>
    <row r="56" customFormat="false" ht="15" hidden="false" customHeight="false" outlineLevel="0" collapsed="false">
      <c r="A56" s="7" t="s">
        <v>299</v>
      </c>
      <c r="B56" s="7" t="s">
        <v>134</v>
      </c>
      <c r="C56" s="11" t="n">
        <f aca="false">AVERAGE(03_CLEAN_DATA!$N$50:$N$65)</f>
        <v>2.28713662201346</v>
      </c>
      <c r="D56" s="11" t="n">
        <f aca="false">MEDIAN(03_CLEAN_DATA!$N$50:$N$65)</f>
        <v>2.13330508128551</v>
      </c>
      <c r="E56" s="11" t="n">
        <f aca="false">MIN(03_CLEAN_DATA!$N$50:$N$65)</f>
        <v>-1.0597493247289</v>
      </c>
      <c r="F56" s="11" t="n">
        <f aca="false">MAX(03_CLEAN_DATA!$N$50:$N$65)</f>
        <v>5.44765747649664</v>
      </c>
      <c r="G56" s="11" t="n">
        <f aca="false">STDEV(03_CLEAN_DATA!$N$50:$N$65)</f>
        <v>1.88718514173207</v>
      </c>
      <c r="H56" s="11" t="n">
        <f aca="false">03_CLEAN_DATA!N50</f>
        <v>2.32222893370545</v>
      </c>
      <c r="I56" s="11" t="n">
        <f aca="false">03_CLEAN_DATA!N65</f>
        <v>1.32903607891851</v>
      </c>
      <c r="J56" s="11" t="n">
        <f aca="false">IF(OR(H56="",I56=""),"",I56-H56)</f>
        <v>-0.99319285478694</v>
      </c>
      <c r="K56" s="9" t="s">
        <v>297</v>
      </c>
    </row>
    <row r="57" customFormat="false" ht="15" hidden="false" customHeight="false" outlineLevel="0" collapsed="false">
      <c r="A57" s="7" t="s">
        <v>171</v>
      </c>
      <c r="B57" s="7" t="s">
        <v>128</v>
      </c>
      <c r="C57" s="11" t="n">
        <f aca="false">AVERAGE(04_CALCULATIONS!$E$2:$E$17)</f>
        <v>4.1210274378014</v>
      </c>
      <c r="D57" s="11" t="n">
        <f aca="false">MEDIAN(04_CALCULATIONS!$E$2:$E$17)</f>
        <v>4.57480365773512</v>
      </c>
      <c r="E57" s="11" t="n">
        <f aca="false">MIN(04_CALCULATIONS!$E$2:$E$17)</f>
        <v>-5.34968205814709</v>
      </c>
      <c r="F57" s="11" t="n">
        <f aca="false">MAX(04_CALCULATIONS!$E$2:$E$17)</f>
        <v>8.2509824194741</v>
      </c>
      <c r="G57" s="11" t="n">
        <f aca="false">STDEV(04_CALCULATIONS!$E$2:$E$17)</f>
        <v>3.34385691999821</v>
      </c>
      <c r="H57" s="11" t="n">
        <f aca="false">04_CALCULATIONS!E2</f>
        <v>4.66804700510686</v>
      </c>
      <c r="I57" s="11" t="n">
        <f aca="false">04_CALCULATIONS!E17</f>
        <v>4.48156031036338</v>
      </c>
      <c r="J57" s="11" t="n">
        <f aca="false">IF(OR(H57="",I57=""),"",I57-H57)</f>
        <v>-0.186486694743475</v>
      </c>
      <c r="K57" s="9" t="s">
        <v>297</v>
      </c>
    </row>
    <row r="58" customFormat="false" ht="15" hidden="false" customHeight="false" outlineLevel="0" collapsed="false">
      <c r="A58" s="7" t="s">
        <v>171</v>
      </c>
      <c r="B58" s="7" t="s">
        <v>130</v>
      </c>
      <c r="C58" s="11" t="n">
        <f aca="false">AVERAGE(04_CALCULATIONS!$E$18:$E$33)</f>
        <v>2.03848360963191</v>
      </c>
      <c r="D58" s="11" t="n">
        <f aca="false">MEDIAN(04_CALCULATIONS!$E$18:$E$33)</f>
        <v>2.44350304414531</v>
      </c>
      <c r="E58" s="11" t="n">
        <f aca="false">MIN(04_CALCULATIONS!$E$18:$E$33)</f>
        <v>-2.44143862934843</v>
      </c>
      <c r="F58" s="11" t="n">
        <f aca="false">MAX(04_CALCULATIONS!$E$18:$E$33)</f>
        <v>5.73760699727163</v>
      </c>
      <c r="G58" s="11" t="n">
        <f aca="false">STDEV(04_CALCULATIONS!$E$18:$E$33)</f>
        <v>2.40450653680792</v>
      </c>
      <c r="H58" s="11" t="n">
        <f aca="false">04_CALCULATIONS!E18</f>
        <v>-2.44143862934843</v>
      </c>
      <c r="I58" s="11" t="n">
        <f aca="false">04_CALCULATIONS!E33</f>
        <v>2.870947943123</v>
      </c>
      <c r="J58" s="11" t="n">
        <f aca="false">IF(OR(H58="",I58=""),"",I58-H58)</f>
        <v>5.31238657247143</v>
      </c>
      <c r="K58" s="9" t="s">
        <v>297</v>
      </c>
    </row>
    <row r="59" customFormat="false" ht="15" hidden="false" customHeight="false" outlineLevel="0" collapsed="false">
      <c r="A59" s="7" t="s">
        <v>171</v>
      </c>
      <c r="B59" s="7" t="s">
        <v>132</v>
      </c>
      <c r="C59" s="11" t="n">
        <f aca="false">AVERAGE(04_CALCULATIONS!$E$34:$E$49)</f>
        <v>5.32531888091857</v>
      </c>
      <c r="D59" s="11" t="n">
        <f aca="false">MEDIAN(04_CALCULATIONS!$E$34:$E$49)</f>
        <v>5.92874389184531</v>
      </c>
      <c r="E59" s="11" t="n">
        <f aca="false">MIN(04_CALCULATIONS!$E$34:$E$49)</f>
        <v>0.807362176221077</v>
      </c>
      <c r="F59" s="11" t="n">
        <f aca="false">MAX(04_CALCULATIONS!$E$34:$E$49)</f>
        <v>7.66966134837032</v>
      </c>
      <c r="G59" s="11" t="n">
        <f aca="false">STDEV(04_CALCULATIONS!$E$34:$E$49)</f>
        <v>1.78549900847243</v>
      </c>
      <c r="H59" s="11" t="n">
        <f aca="false">04_CALCULATIONS!E34</f>
        <v>3.02671591429822</v>
      </c>
      <c r="I59" s="11" t="n">
        <f aca="false">04_CALCULATIONS!E49</f>
        <v>5.85075449497065</v>
      </c>
      <c r="J59" s="11" t="n">
        <f aca="false">IF(OR(H59="",I59=""),"",I59-H59)</f>
        <v>2.82403858067243</v>
      </c>
      <c r="K59" s="9" t="s">
        <v>297</v>
      </c>
    </row>
    <row r="60" customFormat="false" ht="15" hidden="false" customHeight="false" outlineLevel="0" collapsed="false">
      <c r="A60" s="7" t="s">
        <v>171</v>
      </c>
      <c r="B60" s="7" t="s">
        <v>134</v>
      </c>
      <c r="C60" s="11" t="n">
        <f aca="false">AVERAGE(04_CALCULATIONS!$E$50:$E$65)</f>
        <v>0.939110907087221</v>
      </c>
      <c r="D60" s="11" t="n">
        <f aca="false">MEDIAN(04_CALCULATIONS!$E$50:$E$65)</f>
        <v>1.09160708623997</v>
      </c>
      <c r="E60" s="11" t="n">
        <f aca="false">MIN(04_CALCULATIONS!$E$50:$E$65)</f>
        <v>-5.92133174685011</v>
      </c>
      <c r="F60" s="11" t="n">
        <f aca="false">MAX(04_CALCULATIONS!$E$50:$E$65)</f>
        <v>4.85490799223945</v>
      </c>
      <c r="G60" s="11" t="n">
        <f aca="false">STDEV(04_CALCULATIONS!$E$50:$E$65)</f>
        <v>2.58307256259648</v>
      </c>
      <c r="H60" s="11" t="n">
        <f aca="false">04_CALCULATIONS!E50</f>
        <v>-0.946333509111594</v>
      </c>
      <c r="I60" s="11" t="n">
        <f aca="false">04_CALCULATIONS!E65</f>
        <v>-0.15323758127642</v>
      </c>
      <c r="J60" s="11" t="n">
        <f aca="false">IF(OR(H60="",I60=""),"",I60-H60)</f>
        <v>0.793095927835174</v>
      </c>
      <c r="K60" s="9" t="s">
        <v>297</v>
      </c>
    </row>
    <row r="61" customFormat="false" ht="15" hidden="false" customHeight="false" outlineLevel="0" collapsed="false">
      <c r="A61" s="7" t="s">
        <v>170</v>
      </c>
      <c r="B61" s="7" t="s">
        <v>128</v>
      </c>
      <c r="C61" s="11" t="n">
        <f aca="false">AVERAGE(03_CLEAN_DATA!$O$2:$O$17)</f>
        <v>17.9105804990644</v>
      </c>
      <c r="D61" s="11" t="n">
        <f aca="false">MEDIAN(03_CLEAN_DATA!$O$2:$O$17)</f>
        <v>18.2691046190015</v>
      </c>
      <c r="E61" s="11" t="n">
        <f aca="false">MIN(03_CLEAN_DATA!$O$2:$O$17)</f>
        <v>15.1438280236576</v>
      </c>
      <c r="F61" s="11" t="n">
        <f aca="false">MAX(03_CLEAN_DATA!$O$2:$O$17)</f>
        <v>20.2076761720927</v>
      </c>
      <c r="G61" s="11" t="n">
        <f aca="false">STDEV(03_CLEAN_DATA!$O$2:$O$17)</f>
        <v>1.40539985664006</v>
      </c>
      <c r="H61" s="11" t="n">
        <f aca="false">03_CLEAN_DATA!O2</f>
        <v>18.1353669170801</v>
      </c>
      <c r="I61" s="11" t="n">
        <f aca="false">03_CLEAN_DATA!O17</f>
        <v>15.1438280236576</v>
      </c>
      <c r="J61" s="11" t="n">
        <f aca="false">IF(OR(H61="",I61=""),"",I61-H61)</f>
        <v>-2.9915388934225</v>
      </c>
      <c r="K61" s="24" t="n">
        <f aca="false">IF(OR(H61="",I61=""),"",I61/H61-1)</f>
        <v>-0.164956072137974</v>
      </c>
    </row>
    <row r="62" customFormat="false" ht="15" hidden="false" customHeight="false" outlineLevel="0" collapsed="false">
      <c r="A62" s="7" t="s">
        <v>170</v>
      </c>
      <c r="B62" s="7" t="s">
        <v>130</v>
      </c>
      <c r="C62" s="11" t="n">
        <f aca="false">AVERAGE(03_CLEAN_DATA!$O$18:$O$33)</f>
        <v>16.6905883761667</v>
      </c>
      <c r="D62" s="11" t="n">
        <f aca="false">MEDIAN(03_CLEAN_DATA!$O$18:$O$33)</f>
        <v>16.6089786324614</v>
      </c>
      <c r="E62" s="11" t="n">
        <f aca="false">MIN(03_CLEAN_DATA!$O$18:$O$33)</f>
        <v>15.0456983931731</v>
      </c>
      <c r="F62" s="11" t="n">
        <f aca="false">MAX(03_CLEAN_DATA!$O$18:$O$33)</f>
        <v>18.2752041844413</v>
      </c>
      <c r="G62" s="11" t="n">
        <f aca="false">STDEV(03_CLEAN_DATA!$O$18:$O$33)</f>
        <v>0.843479047076552</v>
      </c>
      <c r="H62" s="11" t="n">
        <f aca="false">03_CLEAN_DATA!O18</f>
        <v>16.1698747962404</v>
      </c>
      <c r="I62" s="11" t="n">
        <f aca="false">03_CLEAN_DATA!O33</f>
        <v>15.0456983931731</v>
      </c>
      <c r="J62" s="11" t="n">
        <f aca="false">IF(OR(H62="",I62=""),"",I62-H62)</f>
        <v>-1.1241764030673</v>
      </c>
      <c r="K62" s="24" t="n">
        <f aca="false">IF(OR(H62="",I62=""),"",I62/H62-1)</f>
        <v>-0.0695228885339718</v>
      </c>
    </row>
    <row r="63" customFormat="false" ht="15" hidden="false" customHeight="false" outlineLevel="0" collapsed="false">
      <c r="A63" s="7" t="s">
        <v>170</v>
      </c>
      <c r="B63" s="7" t="s">
        <v>132</v>
      </c>
      <c r="C63" s="11" t="n">
        <f aca="false">AVERAGE(03_CLEAN_DATA!$O$34:$O$49)</f>
        <v>21.5117708428581</v>
      </c>
      <c r="D63" s="11" t="n">
        <f aca="false">MEDIAN(03_CLEAN_DATA!$O$34:$O$49)</f>
        <v>21.7376676589515</v>
      </c>
      <c r="E63" s="11" t="n">
        <f aca="false">MIN(03_CLEAN_DATA!$O$34:$O$49)</f>
        <v>19.3950613571424</v>
      </c>
      <c r="F63" s="11" t="n">
        <f aca="false">MAX(03_CLEAN_DATA!$O$34:$O$49)</f>
        <v>23.7610958428917</v>
      </c>
      <c r="G63" s="11" t="n">
        <f aca="false">STDEV(03_CLEAN_DATA!$O$34:$O$49)</f>
        <v>1.5317257654051</v>
      </c>
      <c r="H63" s="11" t="n">
        <f aca="false">03_CLEAN_DATA!O34</f>
        <v>20.6982379160476</v>
      </c>
      <c r="I63" s="11" t="n">
        <f aca="false">03_CLEAN_DATA!O49</f>
        <v>19.422337669866</v>
      </c>
      <c r="J63" s="11" t="n">
        <f aca="false">IF(OR(H63="",I63=""),"",I63-H63)</f>
        <v>-1.2759002461816</v>
      </c>
      <c r="K63" s="24" t="n">
        <f aca="false">IF(OR(H63="",I63=""),"",I63/H63-1)</f>
        <v>-0.061642940396988</v>
      </c>
    </row>
    <row r="64" customFormat="false" ht="15" hidden="false" customHeight="false" outlineLevel="0" collapsed="false">
      <c r="A64" s="7" t="s">
        <v>170</v>
      </c>
      <c r="B64" s="7" t="s">
        <v>134</v>
      </c>
      <c r="C64" s="11" t="n">
        <f aca="false">AVERAGE(03_CLEAN_DATA!$O$50:$O$65)</f>
        <v>17.4021789525773</v>
      </c>
      <c r="D64" s="11" t="n">
        <f aca="false">MEDIAN(03_CLEAN_DATA!$O$50:$O$65)</f>
        <v>17.3126187067065</v>
      </c>
      <c r="E64" s="11" t="n">
        <f aca="false">MIN(03_CLEAN_DATA!$O$50:$O$65)</f>
        <v>16.194388078966</v>
      </c>
      <c r="F64" s="11" t="n">
        <f aca="false">MAX(03_CLEAN_DATA!$O$50:$O$65)</f>
        <v>18.8287638047366</v>
      </c>
      <c r="G64" s="11" t="n">
        <f aca="false">STDEV(03_CLEAN_DATA!$O$50:$O$65)</f>
        <v>0.811809213441301</v>
      </c>
      <c r="H64" s="11" t="n">
        <f aca="false">03_CLEAN_DATA!O50</f>
        <v>17.1362690628545</v>
      </c>
      <c r="I64" s="11" t="n">
        <f aca="false">03_CLEAN_DATA!O65</f>
        <v>16.194388078966</v>
      </c>
      <c r="J64" s="11" t="n">
        <f aca="false">IF(OR(H64="",I64=""),"",I64-H64)</f>
        <v>-0.941880983888499</v>
      </c>
      <c r="K64" s="24" t="n">
        <f aca="false">IF(OR(H64="",I64=""),"",I64/H64-1)</f>
        <v>-0.0549641803845256</v>
      </c>
    </row>
    <row r="65" customFormat="false" ht="15" hidden="false" customHeight="false" outlineLevel="0" collapsed="false">
      <c r="A65" s="7" t="s">
        <v>300</v>
      </c>
      <c r="B65" s="7" t="s">
        <v>128</v>
      </c>
      <c r="C65" s="11" t="n">
        <f aca="false">AVERAGE(03_CLEAN_DATA!$P$2:$P$17)</f>
        <v>0.151163828194443</v>
      </c>
      <c r="D65" s="11" t="n">
        <f aca="false">MEDIAN(03_CLEAN_DATA!$P$2:$P$17)</f>
        <v>0.588160147915021</v>
      </c>
      <c r="E65" s="11" t="n">
        <f aca="false">MIN(03_CLEAN_DATA!$P$2:$P$17)</f>
        <v>-8.78389100676718</v>
      </c>
      <c r="F65" s="11" t="n">
        <f aca="false">MAX(03_CLEAN_DATA!$P$2:$P$17)</f>
        <v>4.40234047330024</v>
      </c>
      <c r="G65" s="11" t="n">
        <f aca="false">STDEV(03_CLEAN_DATA!$P$2:$P$17)</f>
        <v>3.06108595294121</v>
      </c>
      <c r="H65" s="11" t="n">
        <f aca="false">03_CLEAN_DATA!P2</f>
        <v>-0.188218208390541</v>
      </c>
      <c r="I65" s="11" t="n">
        <f aca="false">03_CLEAN_DATA!P17</f>
        <v>1.6548423815673</v>
      </c>
      <c r="J65" s="11" t="n">
        <f aca="false">IF(OR(H65="",I65=""),"",I65-H65)</f>
        <v>1.84306058995784</v>
      </c>
      <c r="K65" s="9" t="s">
        <v>297</v>
      </c>
    </row>
    <row r="66" customFormat="false" ht="15" hidden="false" customHeight="false" outlineLevel="0" collapsed="false">
      <c r="A66" s="7" t="s">
        <v>300</v>
      </c>
      <c r="B66" s="7" t="s">
        <v>130</v>
      </c>
      <c r="C66" s="11" t="n">
        <f aca="false">AVERAGE(03_CLEAN_DATA!$P$18:$P$33)</f>
        <v>-1.59078842454732</v>
      </c>
      <c r="D66" s="11" t="n">
        <f aca="false">MEDIAN(03_CLEAN_DATA!$P$18:$P$33)</f>
        <v>-1.31352038617226</v>
      </c>
      <c r="E66" s="11" t="n">
        <f aca="false">MIN(03_CLEAN_DATA!$P$18:$P$33)</f>
        <v>-5.16657584018312</v>
      </c>
      <c r="F66" s="11" t="n">
        <f aca="false">MAX(03_CLEAN_DATA!$P$18:$P$33)</f>
        <v>2.39835922164097</v>
      </c>
      <c r="G66" s="11" t="n">
        <f aca="false">STDEV(03_CLEAN_DATA!$P$18:$P$33)</f>
        <v>2.10115181662077</v>
      </c>
      <c r="H66" s="11" t="n">
        <f aca="false">03_CLEAN_DATA!P18</f>
        <v>-5.16657584018312</v>
      </c>
      <c r="I66" s="11" t="n">
        <f aca="false">03_CLEAN_DATA!P33</f>
        <v>-0.953363430850522</v>
      </c>
      <c r="J66" s="11" t="n">
        <f aca="false">IF(OR(H66="",I66=""),"",I66-H66)</f>
        <v>4.2132124093326</v>
      </c>
      <c r="K66" s="9" t="s">
        <v>297</v>
      </c>
    </row>
    <row r="67" customFormat="false" ht="15" hidden="false" customHeight="false" outlineLevel="0" collapsed="false">
      <c r="A67" s="7" t="s">
        <v>300</v>
      </c>
      <c r="B67" s="7" t="s">
        <v>132</v>
      </c>
      <c r="C67" s="11" t="n">
        <f aca="false">AVERAGE(03_CLEAN_DATA!$P$34:$P$49)</f>
        <v>-0.355285464761807</v>
      </c>
      <c r="D67" s="11" t="n">
        <f aca="false">MEDIAN(03_CLEAN_DATA!$P$34:$P$49)</f>
        <v>0.286607594211762</v>
      </c>
      <c r="E67" s="11" t="n">
        <f aca="false">MIN(03_CLEAN_DATA!$P$34:$P$49)</f>
        <v>-4.52048439437013</v>
      </c>
      <c r="F67" s="11" t="n">
        <f aca="false">MAX(03_CLEAN_DATA!$P$34:$P$49)</f>
        <v>1.7852008079583</v>
      </c>
      <c r="G67" s="11" t="n">
        <f aca="false">STDEV(03_CLEAN_DATA!$P$34:$P$49)</f>
        <v>1.8952869042783</v>
      </c>
      <c r="H67" s="11" t="n">
        <f aca="false">03_CLEAN_DATA!P34</f>
        <v>-3.48120039690542</v>
      </c>
      <c r="I67" s="11" t="n">
        <f aca="false">03_CLEAN_DATA!P49</f>
        <v>0.624791974567142</v>
      </c>
      <c r="J67" s="11" t="n">
        <f aca="false">IF(OR(H67="",I67=""),"",I67-H67)</f>
        <v>4.10599237147256</v>
      </c>
      <c r="K67" s="9" t="s">
        <v>297</v>
      </c>
    </row>
    <row r="68" customFormat="false" ht="15" hidden="false" customHeight="false" outlineLevel="0" collapsed="false">
      <c r="A68" s="7" t="s">
        <v>300</v>
      </c>
      <c r="B68" s="7" t="s">
        <v>134</v>
      </c>
      <c r="C68" s="11" t="n">
        <f aca="false">AVERAGE(03_CLEAN_DATA!$P$50:$P$65)</f>
        <v>-2.51926486112744</v>
      </c>
      <c r="D68" s="11" t="n">
        <f aca="false">MEDIAN(03_CLEAN_DATA!$P$50:$P$65)</f>
        <v>-2.53476828986519</v>
      </c>
      <c r="E68" s="11" t="n">
        <f aca="false">MIN(03_CLEAN_DATA!$P$50:$P$65)</f>
        <v>-9.60893340616344</v>
      </c>
      <c r="F68" s="11" t="n">
        <f aca="false">MAX(03_CLEAN_DATA!$P$50:$P$65)</f>
        <v>2.91051144201471</v>
      </c>
      <c r="G68" s="11" t="n">
        <f aca="false">STDEV(03_CLEAN_DATA!$P$50:$P$65)</f>
        <v>3.05113685816261</v>
      </c>
      <c r="H68" s="11" t="n">
        <f aca="false">03_CLEAN_DATA!P50</f>
        <v>-4.6203044518302</v>
      </c>
      <c r="I68" s="11" t="n">
        <f aca="false">03_CLEAN_DATA!P65</f>
        <v>-3.62646052924369</v>
      </c>
      <c r="J68" s="11" t="n">
        <f aca="false">IF(OR(H68="",I68=""),"",I68-H68)</f>
        <v>0.99384392258651</v>
      </c>
      <c r="K68" s="9" t="s">
        <v>297</v>
      </c>
    </row>
    <row r="69" customFormat="false" ht="15" hidden="false" customHeight="false" outlineLevel="0" collapsed="false">
      <c r="A69" s="7" t="s">
        <v>301</v>
      </c>
      <c r="B69" s="7" t="s">
        <v>128</v>
      </c>
      <c r="C69" s="10" t="n">
        <f aca="false">AVERAGE(03_CLEAN_DATA!$F$2:$F$17)</f>
        <v>16753.9671373581</v>
      </c>
      <c r="D69" s="10" t="n">
        <f aca="false">MEDIAN(03_CLEAN_DATA!$F$2:$F$17)</f>
        <v>15561.5488489258</v>
      </c>
      <c r="E69" s="10" t="n">
        <f aca="false">MIN(03_CLEAN_DATA!$F$2:$F$17)</f>
        <v>12782.9412577973</v>
      </c>
      <c r="F69" s="10" t="n">
        <f aca="false">MAX(03_CLEAN_DATA!$F$2:$F$17)</f>
        <v>25907.4743259406</v>
      </c>
      <c r="G69" s="10" t="n">
        <f aca="false">STDEV(03_CLEAN_DATA!$F$2:$F$17)</f>
        <v>4045.74729694088</v>
      </c>
      <c r="H69" s="10" t="n">
        <f aca="false">03_CLEAN_DATA!F2</f>
        <v>13189.8433874768</v>
      </c>
      <c r="I69" s="10" t="n">
        <f aca="false">03_CLEAN_DATA!F17</f>
        <v>25907.4743259406</v>
      </c>
      <c r="J69" s="10" t="n">
        <f aca="false">IF(OR(H69="",I69=""),"",I69-H69)</f>
        <v>12717.6309384638</v>
      </c>
      <c r="K69" s="24" t="n">
        <f aca="false">IF(OR(H69="",I69=""),"",I69/H69-1)</f>
        <v>0.964198782719335</v>
      </c>
    </row>
    <row r="70" customFormat="false" ht="15" hidden="false" customHeight="false" outlineLevel="0" collapsed="false">
      <c r="A70" s="7" t="s">
        <v>301</v>
      </c>
      <c r="B70" s="7" t="s">
        <v>130</v>
      </c>
      <c r="C70" s="10" t="n">
        <f aca="false">AVERAGE(03_CLEAN_DATA!$F$18:$F$33)</f>
        <v>16706.2923169955</v>
      </c>
      <c r="D70" s="10" t="n">
        <f aca="false">MEDIAN(03_CLEAN_DATA!$F$18:$F$33)</f>
        <v>14960.2473890523</v>
      </c>
      <c r="E70" s="10" t="n">
        <f aca="false">MIN(03_CLEAN_DATA!$F$18:$F$33)</f>
        <v>12464.0121044827</v>
      </c>
      <c r="F70" s="10" t="n">
        <f aca="false">MAX(03_CLEAN_DATA!$F$18:$F$33)</f>
        <v>28419.5777395638</v>
      </c>
      <c r="G70" s="10" t="n">
        <f aca="false">STDEV(03_CLEAN_DATA!$F$18:$F$33)</f>
        <v>4788.96609053691</v>
      </c>
      <c r="H70" s="10" t="n">
        <f aca="false">03_CLEAN_DATA!F18</f>
        <v>12567.7317676382</v>
      </c>
      <c r="I70" s="10" t="n">
        <f aca="false">03_CLEAN_DATA!F33</f>
        <v>28419.5777395638</v>
      </c>
      <c r="J70" s="10" t="n">
        <f aca="false">IF(OR(H70="",I70=""),"",I70-H70)</f>
        <v>15851.8459719256</v>
      </c>
      <c r="K70" s="24" t="n">
        <f aca="false">IF(OR(H70="",I70=""),"",I70/H70-1)</f>
        <v>1.26131319994782</v>
      </c>
    </row>
    <row r="71" customFormat="false" ht="15" hidden="false" customHeight="false" outlineLevel="0" collapsed="false">
      <c r="A71" s="7" t="s">
        <v>301</v>
      </c>
      <c r="B71" s="7" t="s">
        <v>132</v>
      </c>
      <c r="C71" s="10" t="n">
        <f aca="false">AVERAGE(03_CLEAN_DATA!$F$34:$F$49)</f>
        <v>24178.0066938597</v>
      </c>
      <c r="D71" s="10" t="n">
        <f aca="false">MEDIAN(03_CLEAN_DATA!$F$34:$F$49)</f>
        <v>22760.999812155</v>
      </c>
      <c r="E71" s="10" t="n">
        <f aca="false">MIN(03_CLEAN_DATA!$F$34:$F$49)</f>
        <v>17931.5987670768</v>
      </c>
      <c r="F71" s="10" t="n">
        <f aca="false">MAX(03_CLEAN_DATA!$F$34:$F$49)</f>
        <v>35917.2724081665</v>
      </c>
      <c r="G71" s="10" t="n">
        <f aca="false">STDEV(03_CLEAN_DATA!$F$34:$F$49)</f>
        <v>5375.18308145557</v>
      </c>
      <c r="H71" s="10" t="n">
        <f aca="false">03_CLEAN_DATA!F34</f>
        <v>20160.4355077059</v>
      </c>
      <c r="I71" s="10" t="n">
        <f aca="false">03_CLEAN_DATA!F49</f>
        <v>35917.2724081665</v>
      </c>
      <c r="J71" s="10" t="n">
        <f aca="false">IF(OR(H71="",I71=""),"",I71-H71)</f>
        <v>15756.8369004606</v>
      </c>
      <c r="K71" s="24" t="n">
        <f aca="false">IF(OR(H71="",I71=""),"",I71/H71-1)</f>
        <v>0.781572248002176</v>
      </c>
    </row>
    <row r="72" customFormat="false" ht="15" hidden="false" customHeight="false" outlineLevel="0" collapsed="false">
      <c r="A72" s="7" t="s">
        <v>301</v>
      </c>
      <c r="B72" s="7" t="s">
        <v>134</v>
      </c>
      <c r="C72" s="10" t="n">
        <f aca="false">AVERAGE(03_CLEAN_DATA!$F$50:$F$65)</f>
        <v>20125.0315225605</v>
      </c>
      <c r="D72" s="10" t="n">
        <f aca="false">MEDIAN(03_CLEAN_DATA!$F$50:$F$65)</f>
        <v>19088.4939790064</v>
      </c>
      <c r="E72" s="10" t="n">
        <f aca="false">MIN(03_CLEAN_DATA!$F$50:$F$65)</f>
        <v>16442.0760860018</v>
      </c>
      <c r="F72" s="10" t="n">
        <f aca="false">MAX(03_CLEAN_DATA!$F$50:$F$65)</f>
        <v>28543.6653439813</v>
      </c>
      <c r="G72" s="10" t="n">
        <f aca="false">STDEV(03_CLEAN_DATA!$F$50:$F$65)</f>
        <v>3547.77226482629</v>
      </c>
      <c r="H72" s="10" t="n">
        <f aca="false">03_CLEAN_DATA!F50</f>
        <v>16899.448680529</v>
      </c>
      <c r="I72" s="10" t="n">
        <f aca="false">03_CLEAN_DATA!F65</f>
        <v>28543.6653439813</v>
      </c>
      <c r="J72" s="10" t="n">
        <f aca="false">IF(OR(H72="",I72=""),"",I72-H72)</f>
        <v>11644.2166634523</v>
      </c>
      <c r="K72" s="24" t="n">
        <f aca="false">IF(OR(H72="",I72=""),"",I72/H72-1)</f>
        <v>0.689029380992079</v>
      </c>
    </row>
    <row r="73" customFormat="false" ht="15" hidden="false" customHeight="false" outlineLevel="0" collapsed="false">
      <c r="A73" s="9" t="s">
        <v>302</v>
      </c>
    </row>
    <row r="75" customFormat="false" ht="15" hidden="false" customHeight="false" outlineLevel="0" collapsed="false">
      <c r="A75" s="4" t="s">
        <v>303</v>
      </c>
    </row>
    <row r="76" customFormat="false" ht="15" hidden="false" customHeight="false" outlineLevel="0" collapsed="false">
      <c r="A76" s="2" t="s">
        <v>304</v>
      </c>
      <c r="B76" s="14" t="n">
        <v>2010</v>
      </c>
      <c r="C76" s="14" t="n">
        <v>2019</v>
      </c>
      <c r="D76" s="14" t="n">
        <v>2025</v>
      </c>
    </row>
    <row r="77" customFormat="false" ht="48" hidden="false" customHeight="true" outlineLevel="0" collapsed="false">
      <c r="A77" s="6" t="s">
        <v>137</v>
      </c>
      <c r="B77" s="6" t="s">
        <v>305</v>
      </c>
      <c r="C77" s="6" t="s">
        <v>306</v>
      </c>
      <c r="D77" s="6" t="s">
        <v>307</v>
      </c>
      <c r="E77" s="6" t="s">
        <v>308</v>
      </c>
      <c r="F77" s="6" t="s">
        <v>309</v>
      </c>
      <c r="G77" s="6" t="s">
        <v>310</v>
      </c>
      <c r="H77" s="6" t="s">
        <v>311</v>
      </c>
    </row>
    <row r="78" customFormat="false" ht="15" hidden="false" customHeight="false" outlineLevel="0" collapsed="false">
      <c r="A78" s="8" t="s">
        <v>128</v>
      </c>
      <c r="B78" s="10" t="n">
        <f aca="false">SUMIFS(03_CLEAN_DATA!$H$2:$H$65,03_CLEAN_DATA!$B$2:$B$65,$A78,03_CLEAN_DATA!$C$2:$C$65,$B$76)</f>
        <v>85792642173.8137</v>
      </c>
      <c r="C78" s="10" t="n">
        <f aca="false">SUMIFS(03_CLEAN_DATA!$H$2:$H$65,03_CLEAN_DATA!$B$2:$B$65,$A78,03_CLEAN_DATA!$C$2:$C$65,$C$76)</f>
        <v>134011244796.879</v>
      </c>
      <c r="D78" s="10" t="n">
        <f aca="false">SUMIFS(03_CLEAN_DATA!$H$2:$H$65,03_CLEAN_DATA!$B$2:$B$65,$A78,03_CLEAN_DATA!$C$2:$C$65,$D$76)</f>
        <v>151065572346.846</v>
      </c>
      <c r="E78" s="25" t="n">
        <f aca="false">(D78/B78)^(1/($D$76-$B$76))-1</f>
        <v>0.038439096130769</v>
      </c>
      <c r="F78" s="25" t="n">
        <f aca="false">(C78/B78)^(1/($C$76-$B$76))-1</f>
        <v>0.0508028553888118</v>
      </c>
      <c r="G78" s="25" t="n">
        <f aca="false">(D78/C78)^(1/($D$76-$C$76))-1</f>
        <v>0.0201656818384661</v>
      </c>
      <c r="H78" s="13" t="n">
        <f aca="false">D78/B78*100</f>
        <v>176.082200663305</v>
      </c>
    </row>
    <row r="79" customFormat="false" ht="15" hidden="false" customHeight="false" outlineLevel="0" collapsed="false">
      <c r="A79" s="8" t="s">
        <v>130</v>
      </c>
      <c r="B79" s="10" t="n">
        <f aca="false">SUMIFS(03_CLEAN_DATA!$H$2:$H$65,03_CLEAN_DATA!$B$2:$B$65,$A79,03_CLEAN_DATA!$C$2:$C$65,$B$76)</f>
        <v>171122907547.42</v>
      </c>
      <c r="C79" s="10" t="n">
        <f aca="false">SUMIFS(03_CLEAN_DATA!$H$2:$H$65,03_CLEAN_DATA!$B$2:$B$65,$A79,03_CLEAN_DATA!$C$2:$C$65,$C$76)</f>
        <v>302633293540.257</v>
      </c>
      <c r="D79" s="10" t="n">
        <f aca="false">SUMIFS(03_CLEAN_DATA!$H$2:$H$65,03_CLEAN_DATA!$B$2:$B$65,$A79,03_CLEAN_DATA!$C$2:$C$65,$D$76)</f>
        <v>399141795994.164</v>
      </c>
      <c r="E79" s="25" t="n">
        <f aca="false">(D79/B79)^(1/($D$76-$B$76))-1</f>
        <v>0.0580867366135682</v>
      </c>
      <c r="F79" s="25" t="n">
        <f aca="false">(C79/B79)^(1/($C$76-$B$76))-1</f>
        <v>0.0653984521887088</v>
      </c>
      <c r="G79" s="25" t="n">
        <f aca="false">(D79/C79)^(1/($D$76-$C$76))-1</f>
        <v>0.0472131421436437</v>
      </c>
      <c r="H79" s="13" t="n">
        <f aca="false">D79/B79*100</f>
        <v>233.24860576224</v>
      </c>
    </row>
    <row r="80" customFormat="false" ht="15" hidden="false" customHeight="false" outlineLevel="0" collapsed="false">
      <c r="A80" s="8" t="s">
        <v>132</v>
      </c>
      <c r="B80" s="10" t="n">
        <f aca="false">SUMIFS(03_CLEAN_DATA!$H$2:$H$65,03_CLEAN_DATA!$B$2:$B$65,$A80,03_CLEAN_DATA!$C$2:$C$65,$B$76)</f>
        <v>115129733580.089</v>
      </c>
      <c r="C80" s="10" t="n">
        <f aca="false">SUMIFS(03_CLEAN_DATA!$H$2:$H$65,03_CLEAN_DATA!$B$2:$B$65,$A80,03_CLEAN_DATA!$C$2:$C$65,$C$76)</f>
        <v>176962730416.883</v>
      </c>
      <c r="D80" s="10" t="n">
        <f aca="false">SUMIFS(03_CLEAN_DATA!$H$2:$H$65,03_CLEAN_DATA!$B$2:$B$65,$A80,03_CLEAN_DATA!$C$2:$C$65,$D$76)</f>
        <v>198768931485.638</v>
      </c>
      <c r="E80" s="25" t="n">
        <f aca="false">(D80/B80)^(1/($D$76-$B$76))-1</f>
        <v>0.0370763572898423</v>
      </c>
      <c r="F80" s="25" t="n">
        <f aca="false">(C80/B80)^(1/($C$76-$B$76))-1</f>
        <v>0.0489234925128828</v>
      </c>
      <c r="G80" s="25" t="n">
        <f aca="false">(D80/C80)^(1/($D$76-$C$76))-1</f>
        <v>0.0195560719648373</v>
      </c>
      <c r="H80" s="13" t="n">
        <f aca="false">D80/B80*100</f>
        <v>172.647782032229</v>
      </c>
    </row>
    <row r="81" customFormat="false" ht="15" hidden="false" customHeight="false" outlineLevel="0" collapsed="false">
      <c r="A81" s="8" t="s">
        <v>134</v>
      </c>
      <c r="B81" s="10" t="n">
        <f aca="false">SUMIFS(03_CLEAN_DATA!$H$2:$H$65,03_CLEAN_DATA!$B$2:$B$65,$A81,03_CLEAN_DATA!$C$2:$C$65,$B$76)</f>
        <v>57887048307.6546</v>
      </c>
      <c r="C81" s="10" t="n">
        <f aca="false">SUMIFS(03_CLEAN_DATA!$H$2:$H$65,03_CLEAN_DATA!$B$2:$B$65,$A81,03_CLEAN_DATA!$C$2:$C$65,$C$76)</f>
        <v>94008197455.3468</v>
      </c>
      <c r="D81" s="10" t="n">
        <f aca="false">SUMIFS(03_CLEAN_DATA!$H$2:$H$65,03_CLEAN_DATA!$B$2:$B$65,$A81,03_CLEAN_DATA!$C$2:$C$65,$D$76)</f>
        <v>103426401563.679</v>
      </c>
      <c r="E81" s="25" t="n">
        <f aca="false">(D81/B81)^(1/($D$76-$B$76))-1</f>
        <v>0.0394493547267205</v>
      </c>
      <c r="F81" s="25" t="n">
        <f aca="false">(C81/B81)^(1/($C$76-$B$76))-1</f>
        <v>0.0553542363495261</v>
      </c>
      <c r="G81" s="25" t="n">
        <f aca="false">(D81/C81)^(1/($D$76-$C$76))-1</f>
        <v>0.0160403331856274</v>
      </c>
      <c r="H81" s="13" t="n">
        <f aca="false">D81/B81*100</f>
        <v>178.669330337927</v>
      </c>
    </row>
    <row r="82" customFormat="false" ht="15" hidden="false" customHeight="false" outlineLevel="0" collapsed="false">
      <c r="A82" s="9" t="s">
        <v>312</v>
      </c>
    </row>
    <row r="84" customFormat="false" ht="15" hidden="false" customHeight="false" outlineLevel="0" collapsed="false">
      <c r="A84" s="4" t="s">
        <v>313</v>
      </c>
    </row>
    <row r="85" customFormat="false" ht="48" hidden="false" customHeight="true" outlineLevel="0" collapsed="false">
      <c r="A85" s="6" t="s">
        <v>162</v>
      </c>
      <c r="B85" s="6" t="s">
        <v>137</v>
      </c>
      <c r="C85" s="6" t="s">
        <v>314</v>
      </c>
      <c r="D85" s="6" t="s">
        <v>315</v>
      </c>
      <c r="E85" s="6" t="s">
        <v>316</v>
      </c>
      <c r="F85" s="6" t="s">
        <v>317</v>
      </c>
      <c r="G85" s="6" t="s">
        <v>318</v>
      </c>
      <c r="H85" s="6" t="s">
        <v>319</v>
      </c>
      <c r="I85" s="6" t="s">
        <v>320</v>
      </c>
    </row>
    <row r="86" customFormat="false" ht="15" hidden="false" customHeight="false" outlineLevel="0" collapsed="false">
      <c r="A86" s="7" t="s">
        <v>298</v>
      </c>
      <c r="B86" s="7" t="s">
        <v>128</v>
      </c>
      <c r="C86" s="11" t="n">
        <f aca="false">AVERAGE(04_CALCULATIONS!$D$2:$D$11)</f>
        <v>5.72030438161061</v>
      </c>
      <c r="D86" s="11" t="n">
        <f aca="false">MEDIAN(04_CALCULATIONS!$D$2:$D$11)</f>
        <v>5.93549652451757</v>
      </c>
      <c r="E86" s="11" t="n">
        <f aca="false">AVERAGE(04_CALCULATIONS!$D$12:$D$13)</f>
        <v>1.04783235423708</v>
      </c>
      <c r="F86" s="11" t="n">
        <f aca="false">MEDIAN(04_CALCULATIONS!$D$12:$D$13)</f>
        <v>1.04783235423708</v>
      </c>
      <c r="G86" s="11" t="n">
        <f aca="false">AVERAGE(04_CALCULATIONS!$D$14:$D$17)</f>
        <v>2.7409542926433</v>
      </c>
      <c r="H86" s="11" t="n">
        <f aca="false">MEDIAN(04_CALCULATIONS!$D$14:$D$17)</f>
        <v>0.655133529413515</v>
      </c>
      <c r="I86" s="11" t="n">
        <f aca="false">AVERAGE(04_CALCULATIONS!$D$3:$D$11)</f>
        <v>5.12061266475609</v>
      </c>
    </row>
    <row r="87" customFormat="false" ht="15" hidden="false" customHeight="false" outlineLevel="0" collapsed="false">
      <c r="A87" s="7" t="s">
        <v>298</v>
      </c>
      <c r="B87" s="7" t="s">
        <v>130</v>
      </c>
      <c r="C87" s="11" t="n">
        <f aca="false">AVERAGE(04_CALCULATIONS!$D$18:$D$27)</f>
        <v>7.15675731652119</v>
      </c>
      <c r="D87" s="11" t="n">
        <f aca="false">MEDIAN(04_CALCULATIONS!$D$18:$D$27)</f>
        <v>6.68303254307699</v>
      </c>
      <c r="E87" s="11" t="n">
        <f aca="false">AVERAGE(04_CALCULATIONS!$D$28:$D$29)</f>
        <v>5.61375269794631</v>
      </c>
      <c r="F87" s="11" t="n">
        <f aca="false">MEDIAN(04_CALCULATIONS!$D$28:$D$29)</f>
        <v>5.61375269794631</v>
      </c>
      <c r="G87" s="11" t="n">
        <f aca="false">AVERAGE(04_CALCULATIONS!$D$30:$D$33)</f>
        <v>4.40095778812694</v>
      </c>
      <c r="H87" s="11" t="n">
        <f aca="false">MEDIAN(04_CALCULATIONS!$D$30:$D$33)</f>
        <v>4.09892014349483</v>
      </c>
      <c r="I87" s="11" t="n">
        <f aca="false">AVERAGE(04_CALCULATIONS!$D$19:$D$27)</f>
        <v>6.55309451176396</v>
      </c>
    </row>
    <row r="88" customFormat="false" ht="15" hidden="false" customHeight="false" outlineLevel="0" collapsed="false">
      <c r="A88" s="7" t="s">
        <v>298</v>
      </c>
      <c r="B88" s="7" t="s">
        <v>132</v>
      </c>
      <c r="C88" s="11" t="n">
        <f aca="false">AVERAGE(04_CALCULATIONS!$D$34:$D$43)</f>
        <v>5.90514098050439</v>
      </c>
      <c r="D88" s="11" t="n">
        <f aca="false">MEDIAN(04_CALCULATIONS!$D$34:$D$43)</f>
        <v>5.09644730178444</v>
      </c>
      <c r="E88" s="11" t="n">
        <f aca="false">AVERAGE(04_CALCULATIONS!$D$44:$D$45)</f>
        <v>-0.181518176093648</v>
      </c>
      <c r="F88" s="11" t="n">
        <f aca="false">MEDIAN(04_CALCULATIONS!$D$44:$D$45)</f>
        <v>-0.181518176093648</v>
      </c>
      <c r="G88" s="11" t="n">
        <f aca="false">AVERAGE(04_CALCULATIONS!$D$46:$D$49)</f>
        <v>3.23110620125996</v>
      </c>
      <c r="H88" s="11" t="n">
        <f aca="false">MEDIAN(04_CALCULATIONS!$D$46:$D$49)</f>
        <v>3.12506877651809</v>
      </c>
      <c r="I88" s="11" t="n">
        <f aca="false">AVERAGE(04_CALCULATIONS!$D$35:$D$43)</f>
        <v>4.93265589077641</v>
      </c>
    </row>
    <row r="89" customFormat="false" ht="15" hidden="false" customHeight="false" outlineLevel="0" collapsed="false">
      <c r="A89" s="7" t="s">
        <v>298</v>
      </c>
      <c r="B89" s="7" t="s">
        <v>134</v>
      </c>
      <c r="C89" s="11" t="n">
        <f aca="false">AVERAGE(04_CALCULATIONS!$D$50:$D$59)</f>
        <v>6.81487876175842</v>
      </c>
      <c r="D89" s="11" t="n">
        <f aca="false">MEDIAN(04_CALCULATIONS!$D$50:$D$59)</f>
        <v>5.42897603638789</v>
      </c>
      <c r="E89" s="11" t="n">
        <f aca="false">AVERAGE(04_CALCULATIONS!$D$60:$D$61)</f>
        <v>2.15285455925005</v>
      </c>
      <c r="F89" s="11" t="n">
        <f aca="false">MEDIAN(04_CALCULATIONS!$D$60:$D$61)</f>
        <v>2.15285455925005</v>
      </c>
      <c r="G89" s="11" t="n">
        <f aca="false">AVERAGE(04_CALCULATIONS!$D$62:$D$65)</f>
        <v>1.52527848683626</v>
      </c>
      <c r="H89" s="11" t="n">
        <f aca="false">MEDIAN(04_CALCULATIONS!$D$62:$D$65)</f>
        <v>1.39557836610672</v>
      </c>
      <c r="I89" s="11" t="n">
        <f aca="false">AVERAGE(04_CALCULATIONS!$D$51:$D$59)</f>
        <v>5.56800365244194</v>
      </c>
    </row>
    <row r="90" customFormat="false" ht="15" hidden="false" customHeight="false" outlineLevel="0" collapsed="false">
      <c r="A90" s="7" t="s">
        <v>296</v>
      </c>
      <c r="B90" s="7" t="s">
        <v>128</v>
      </c>
      <c r="C90" s="11" t="n">
        <f aca="false">AVERAGE(03_CLEAN_DATA!$E$2:$E$11)</f>
        <v>2.89176634805163</v>
      </c>
      <c r="D90" s="11" t="n">
        <f aca="false">MEDIAN(03_CLEAN_DATA!$E$2:$E$11)</f>
        <v>3.04922878358149</v>
      </c>
      <c r="E90" s="11" t="n">
        <f aca="false">AVERAGE(03_CLEAN_DATA!$E$12:$E$13)</f>
        <v>1.4420952039354</v>
      </c>
      <c r="F90" s="11" t="n">
        <f aca="false">MEDIAN(03_CLEAN_DATA!$E$12:$E$13)</f>
        <v>1.4420952039354</v>
      </c>
      <c r="G90" s="11" t="n">
        <f aca="false">AVERAGE(03_CLEAN_DATA!$E$14:$E$17)</f>
        <v>1.13847152901794</v>
      </c>
      <c r="H90" s="11" t="n">
        <f aca="false">MEDIAN(03_CLEAN_DATA!$E$14:$E$17)</f>
        <v>0.609306454396453</v>
      </c>
      <c r="I90" s="11" t="n">
        <f aca="false">AVERAGE(03_CLEAN_DATA!$E$3:$E$11)</f>
        <v>3.09441253322176</v>
      </c>
    </row>
    <row r="91" customFormat="false" ht="15" hidden="false" customHeight="false" outlineLevel="0" collapsed="false">
      <c r="A91" s="7" t="s">
        <v>296</v>
      </c>
      <c r="B91" s="7" t="s">
        <v>130</v>
      </c>
      <c r="C91" s="11" t="n">
        <f aca="false">AVERAGE(03_CLEAN_DATA!$E$18:$E$27)</f>
        <v>3.79826400129147</v>
      </c>
      <c r="D91" s="11" t="n">
        <f aca="false">MEDIAN(03_CLEAN_DATA!$E$18:$E$27)</f>
        <v>4.17613781327255</v>
      </c>
      <c r="E91" s="11" t="n">
        <f aca="false">AVERAGE(03_CLEAN_DATA!$E$28:$E$29)</f>
        <v>2.44580691826262</v>
      </c>
      <c r="F91" s="11" t="n">
        <f aca="false">MEDIAN(03_CLEAN_DATA!$E$28:$E$29)</f>
        <v>2.44580691826262</v>
      </c>
      <c r="G91" s="11" t="n">
        <f aca="false">AVERAGE(03_CLEAN_DATA!$E$30:$E$33)</f>
        <v>3.02655228738959</v>
      </c>
      <c r="H91" s="11" t="n">
        <f aca="false">MEDIAN(03_CLEAN_DATA!$E$30:$E$33)</f>
        <v>3.30057067084007</v>
      </c>
      <c r="I91" s="11" t="n">
        <f aca="false">AVERAGE(03_CLEAN_DATA!$E$19:$E$27)</f>
        <v>3.86819028114826</v>
      </c>
    </row>
    <row r="92" customFormat="false" ht="15" hidden="false" customHeight="false" outlineLevel="0" collapsed="false">
      <c r="A92" s="7" t="s">
        <v>296</v>
      </c>
      <c r="B92" s="7" t="s">
        <v>132</v>
      </c>
      <c r="C92" s="11" t="n">
        <f aca="false">AVERAGE(03_CLEAN_DATA!$E$34:$E$43)</f>
        <v>2.50290539364305</v>
      </c>
      <c r="D92" s="11" t="n">
        <f aca="false">MEDIAN(03_CLEAN_DATA!$E$34:$E$43)</f>
        <v>2.64776761914538</v>
      </c>
      <c r="E92" s="11" t="n">
        <f aca="false">AVERAGE(03_CLEAN_DATA!$E$44:$E$45)</f>
        <v>-0.637930617043635</v>
      </c>
      <c r="F92" s="11" t="n">
        <f aca="false">MEDIAN(03_CLEAN_DATA!$E$44:$E$45)</f>
        <v>-0.637930617043635</v>
      </c>
      <c r="G92" s="11" t="n">
        <f aca="false">AVERAGE(03_CLEAN_DATA!$E$46:$E$49)</f>
        <v>1.68163217116809</v>
      </c>
      <c r="H92" s="11" t="n">
        <f aca="false">MEDIAN(03_CLEAN_DATA!$E$46:$E$49)</f>
        <v>1.9158888476968</v>
      </c>
      <c r="I92" s="11" t="n">
        <f aca="false">AVERAGE(03_CLEAN_DATA!$E$35:$E$43)</f>
        <v>2.47937653748372</v>
      </c>
    </row>
    <row r="93" customFormat="false" ht="15" hidden="false" customHeight="false" outlineLevel="0" collapsed="false">
      <c r="A93" s="7" t="s">
        <v>296</v>
      </c>
      <c r="B93" s="7" t="s">
        <v>134</v>
      </c>
      <c r="C93" s="11" t="n">
        <f aca="false">AVERAGE(03_CLEAN_DATA!$E$50:$E$59)</f>
        <v>3.06709021365115</v>
      </c>
      <c r="D93" s="11" t="n">
        <f aca="false">MEDIAN(03_CLEAN_DATA!$E$50:$E$59)</f>
        <v>2.63518812332521</v>
      </c>
      <c r="E93" s="11" t="n">
        <f aca="false">AVERAGE(03_CLEAN_DATA!$E$60:$E$61)</f>
        <v>1.53517319461172</v>
      </c>
      <c r="F93" s="11" t="n">
        <f aca="false">MEDIAN(03_CLEAN_DATA!$E$60:$E$61)</f>
        <v>1.53517319461172</v>
      </c>
      <c r="G93" s="11" t="n">
        <f aca="false">AVERAGE(03_CLEAN_DATA!$E$62:$E$65)</f>
        <v>1.35083027748157</v>
      </c>
      <c r="H93" s="11" t="n">
        <f aca="false">MEDIAN(03_CLEAN_DATA!$E$62:$E$65)</f>
        <v>1.37304657281961</v>
      </c>
      <c r="I93" s="11" t="n">
        <f aca="false">AVERAGE(03_CLEAN_DATA!$E$51:$E$59)</f>
        <v>2.65336894945414</v>
      </c>
    </row>
    <row r="94" customFormat="false" ht="15" hidden="false" customHeight="false" outlineLevel="0" collapsed="false">
      <c r="A94" s="7" t="s">
        <v>294</v>
      </c>
      <c r="B94" s="7" t="s">
        <v>128</v>
      </c>
      <c r="C94" s="11" t="n">
        <f aca="false">AVERAGE(03_CLEAN_DATA!$J$2:$J$11)</f>
        <v>84.971019402638</v>
      </c>
      <c r="D94" s="11" t="n">
        <f aca="false">MEDIAN(03_CLEAN_DATA!$J$2:$J$11)</f>
        <v>85.9168815255349</v>
      </c>
      <c r="E94" s="11" t="n">
        <f aca="false">AVERAGE(03_CLEAN_DATA!$J$12:$J$13)</f>
        <v>78.7496830632213</v>
      </c>
      <c r="F94" s="11" t="n">
        <f aca="false">MEDIAN(03_CLEAN_DATA!$J$12:$J$13)</f>
        <v>78.7496830632213</v>
      </c>
      <c r="G94" s="11" t="n">
        <f aca="false">AVERAGE(03_CLEAN_DATA!$J$14:$J$17)</f>
        <v>80.006492182499</v>
      </c>
      <c r="H94" s="11" t="n">
        <f aca="false">MEDIAN(03_CLEAN_DATA!$J$14:$J$17)</f>
        <v>78.7927006807729</v>
      </c>
      <c r="I94" s="11" t="n">
        <f aca="false">AVERAGE(03_CLEAN_DATA!$J$3:$J$11)</f>
        <v>85.3840767200976</v>
      </c>
    </row>
    <row r="95" customFormat="false" ht="15" hidden="false" customHeight="false" outlineLevel="0" collapsed="false">
      <c r="A95" s="7" t="s">
        <v>294</v>
      </c>
      <c r="B95" s="7" t="s">
        <v>130</v>
      </c>
      <c r="C95" s="11" t="n">
        <f aca="false">AVERAGE(03_CLEAN_DATA!$J$18:$J$27)</f>
        <v>47.1827321745687</v>
      </c>
      <c r="D95" s="11" t="n">
        <f aca="false">MEDIAN(03_CLEAN_DATA!$J$18:$J$27)</f>
        <v>46.6911543791553</v>
      </c>
      <c r="E95" s="11" t="n">
        <f aca="false">AVERAGE(03_CLEAN_DATA!$J$28:$J$29)</f>
        <v>54.7359307961132</v>
      </c>
      <c r="F95" s="11" t="n">
        <f aca="false">MEDIAN(03_CLEAN_DATA!$J$28:$J$29)</f>
        <v>54.7359307961132</v>
      </c>
      <c r="G95" s="11" t="n">
        <f aca="false">AVERAGE(03_CLEAN_DATA!$J$30:$J$33)</f>
        <v>55.5910414389233</v>
      </c>
      <c r="H95" s="11" t="n">
        <f aca="false">MEDIAN(03_CLEAN_DATA!$J$30:$J$33)</f>
        <v>55.0305422057223</v>
      </c>
      <c r="I95" s="11" t="n">
        <f aca="false">AVERAGE(03_CLEAN_DATA!$J$19:$J$27)</f>
        <v>47.9927905443739</v>
      </c>
    </row>
    <row r="96" customFormat="false" ht="15" hidden="false" customHeight="false" outlineLevel="0" collapsed="false">
      <c r="A96" s="7" t="s">
        <v>294</v>
      </c>
      <c r="B96" s="7" t="s">
        <v>132</v>
      </c>
      <c r="C96" s="11" t="n">
        <f aca="false">AVERAGE(03_CLEAN_DATA!$J$34:$J$43)</f>
        <v>75.0718442161376</v>
      </c>
      <c r="D96" s="11" t="n">
        <f aca="false">MEDIAN(03_CLEAN_DATA!$J$34:$J$43)</f>
        <v>75.5950884664326</v>
      </c>
      <c r="E96" s="11" t="n">
        <f aca="false">AVERAGE(03_CLEAN_DATA!$J$44:$J$45)</f>
        <v>69.1555091886588</v>
      </c>
      <c r="F96" s="11" t="n">
        <f aca="false">MEDIAN(03_CLEAN_DATA!$J$44:$J$45)</f>
        <v>69.1555091886588</v>
      </c>
      <c r="G96" s="11" t="n">
        <f aca="false">AVERAGE(03_CLEAN_DATA!$J$46:$J$49)</f>
        <v>69.1540398050975</v>
      </c>
      <c r="H96" s="11" t="n">
        <f aca="false">MEDIAN(03_CLEAN_DATA!$J$46:$J$49)</f>
        <v>68.6308175714788</v>
      </c>
      <c r="I96" s="11" t="n">
        <f aca="false">AVERAGE(03_CLEAN_DATA!$J$35:$J$43)</f>
        <v>76.2029826828698</v>
      </c>
    </row>
    <row r="97" customFormat="false" ht="15" hidden="false" customHeight="false" outlineLevel="0" collapsed="false">
      <c r="A97" s="7" t="s">
        <v>294</v>
      </c>
      <c r="B97" s="7" t="s">
        <v>134</v>
      </c>
      <c r="C97" s="11" t="n">
        <f aca="false">AVERAGE(03_CLEAN_DATA!$J$50:$J$59)</f>
        <v>89.9670900773827</v>
      </c>
      <c r="D97" s="11" t="n">
        <f aca="false">MEDIAN(03_CLEAN_DATA!$J$50:$J$59)</f>
        <v>91.3764745927543</v>
      </c>
      <c r="E97" s="11" t="n">
        <f aca="false">AVERAGE(03_CLEAN_DATA!$J$60:$J$61)</f>
        <v>87.5301026038379</v>
      </c>
      <c r="F97" s="11" t="n">
        <f aca="false">MEDIAN(03_CLEAN_DATA!$J$60:$J$61)</f>
        <v>87.5301026038379</v>
      </c>
      <c r="G97" s="11" t="n">
        <f aca="false">AVERAGE(03_CLEAN_DATA!$J$62:$J$65)</f>
        <v>90.2847944729536</v>
      </c>
      <c r="H97" s="11" t="n">
        <f aca="false">MEDIAN(03_CLEAN_DATA!$J$62:$J$65)</f>
        <v>88.4885275443182</v>
      </c>
      <c r="I97" s="11" t="n">
        <f aca="false">AVERAGE(03_CLEAN_DATA!$J$51:$J$59)</f>
        <v>91.3988687430655</v>
      </c>
    </row>
    <row r="98" customFormat="false" ht="15" hidden="false" customHeight="false" outlineLevel="0" collapsed="false">
      <c r="A98" s="7" t="s">
        <v>172</v>
      </c>
      <c r="B98" s="7" t="s">
        <v>128</v>
      </c>
      <c r="C98" s="11" t="n">
        <f aca="false">AVERAGE(03_CLEAN_DATA!$L$2:$L$11)</f>
        <v>164.252533986094</v>
      </c>
      <c r="D98" s="11" t="n">
        <f aca="false">MEDIAN(03_CLEAN_DATA!$L$2:$L$11)</f>
        <v>164.754440315868</v>
      </c>
      <c r="E98" s="11" t="n">
        <f aca="false">AVERAGE(03_CLEAN_DATA!$L$12:$L$13)</f>
        <v>156.857265134605</v>
      </c>
      <c r="F98" s="11" t="n">
        <f aca="false">MEDIAN(03_CLEAN_DATA!$L$12:$L$13)</f>
        <v>156.857265134605</v>
      </c>
      <c r="G98" s="11" t="n">
        <f aca="false">AVERAGE(03_CLEAN_DATA!$L$14:$L$17)</f>
        <v>158.073687157666</v>
      </c>
      <c r="H98" s="11" t="n">
        <f aca="false">MEDIAN(03_CLEAN_DATA!$L$14:$L$17)</f>
        <v>153.272746072991</v>
      </c>
      <c r="I98" s="11" t="n">
        <f aca="false">AVERAGE(03_CLEAN_DATA!$L$3:$L$11)</f>
        <v>164.965153308338</v>
      </c>
    </row>
    <row r="99" customFormat="false" ht="15" hidden="false" customHeight="false" outlineLevel="0" collapsed="false">
      <c r="A99" s="7" t="s">
        <v>172</v>
      </c>
      <c r="B99" s="7" t="s">
        <v>130</v>
      </c>
      <c r="C99" s="11" t="n">
        <f aca="false">AVERAGE(03_CLEAN_DATA!$L$18:$L$27)</f>
        <v>93.4141693177208</v>
      </c>
      <c r="D99" s="11" t="n">
        <f aca="false">MEDIAN(03_CLEAN_DATA!$L$18:$L$27)</f>
        <v>92.144723492756</v>
      </c>
      <c r="E99" s="11" t="n">
        <f aca="false">AVERAGE(03_CLEAN_DATA!$L$28:$L$29)</f>
        <v>105.066687126144</v>
      </c>
      <c r="F99" s="11" t="n">
        <f aca="false">MEDIAN(03_CLEAN_DATA!$L$28:$L$29)</f>
        <v>105.066687126144</v>
      </c>
      <c r="G99" s="11" t="n">
        <f aca="false">AVERAGE(03_CLEAN_DATA!$L$30:$L$33)</f>
        <v>107.608973250902</v>
      </c>
      <c r="H99" s="11" t="n">
        <f aca="false">MEDIAN(03_CLEAN_DATA!$L$30:$L$33)</f>
        <v>105.19218894449</v>
      </c>
      <c r="I99" s="11" t="n">
        <f aca="false">AVERAGE(03_CLEAN_DATA!$L$19:$L$27)</f>
        <v>94.6573156505795</v>
      </c>
    </row>
    <row r="100" customFormat="false" ht="15" hidden="false" customHeight="false" outlineLevel="0" collapsed="false">
      <c r="A100" s="7" t="s">
        <v>172</v>
      </c>
      <c r="B100" s="7" t="s">
        <v>132</v>
      </c>
      <c r="C100" s="11" t="n">
        <f aca="false">AVERAGE(03_CLEAN_DATA!$L$34:$L$43)</f>
        <v>144.451745290951</v>
      </c>
      <c r="D100" s="11" t="n">
        <f aca="false">MEDIAN(03_CLEAN_DATA!$L$34:$L$43)</f>
        <v>145.491213010948</v>
      </c>
      <c r="E100" s="11" t="n">
        <f aca="false">AVERAGE(03_CLEAN_DATA!$L$44:$L$45)</f>
        <v>133.079273304417</v>
      </c>
      <c r="F100" s="11" t="n">
        <f aca="false">MEDIAN(03_CLEAN_DATA!$L$44:$L$45)</f>
        <v>133.079273304417</v>
      </c>
      <c r="G100" s="11" t="n">
        <f aca="false">AVERAGE(03_CLEAN_DATA!$L$46:$L$49)</f>
        <v>133.852534476282</v>
      </c>
      <c r="H100" s="11" t="n">
        <f aca="false">MEDIAN(03_CLEAN_DATA!$L$46:$L$49)</f>
        <v>131.679603210728</v>
      </c>
      <c r="I100" s="11" t="n">
        <f aca="false">AVERAGE(03_CLEAN_DATA!$L$35:$L$43)</f>
        <v>146.417885865857</v>
      </c>
    </row>
    <row r="101" customFormat="false" ht="15" hidden="false" customHeight="false" outlineLevel="0" collapsed="false">
      <c r="A101" s="7" t="s">
        <v>172</v>
      </c>
      <c r="B101" s="7" t="s">
        <v>134</v>
      </c>
      <c r="C101" s="11" t="n">
        <f aca="false">AVERAGE(03_CLEAN_DATA!$L$50:$L$59)</f>
        <v>178.019864798519</v>
      </c>
      <c r="D101" s="11" t="n">
        <f aca="false">MEDIAN(03_CLEAN_DATA!$L$50:$L$59)</f>
        <v>180.164579693244</v>
      </c>
      <c r="E101" s="11" t="n">
        <f aca="false">AVERAGE(03_CLEAN_DATA!$L$60:$L$61)</f>
        <v>174.756828902743</v>
      </c>
      <c r="F101" s="11" t="n">
        <f aca="false">MEDIAN(03_CLEAN_DATA!$L$60:$L$61)</f>
        <v>174.756828902743</v>
      </c>
      <c r="G101" s="11" t="n">
        <f aca="false">AVERAGE(03_CLEAN_DATA!$L$62:$L$65)</f>
        <v>181.750621860642</v>
      </c>
      <c r="H101" s="11" t="n">
        <f aca="false">MEDIAN(03_CLEAN_DATA!$L$62:$L$65)</f>
        <v>176.301836254042</v>
      </c>
      <c r="I101" s="11" t="n">
        <f aca="false">AVERAGE(03_CLEAN_DATA!$L$51:$L$59)</f>
        <v>180.565572255955</v>
      </c>
    </row>
    <row r="102" customFormat="false" ht="15" hidden="false" customHeight="false" outlineLevel="0" collapsed="false">
      <c r="A102" s="7" t="s">
        <v>299</v>
      </c>
      <c r="B102" s="7" t="s">
        <v>128</v>
      </c>
      <c r="C102" s="11" t="n">
        <f aca="false">AVERAGE(03_CLEAN_DATA!$N$2:$N$11)</f>
        <v>6.65685763875688</v>
      </c>
      <c r="D102" s="11" t="n">
        <f aca="false">MEDIAN(03_CLEAN_DATA!$N$2:$N$11)</f>
        <v>2.35227875117648</v>
      </c>
      <c r="E102" s="11" t="n">
        <f aca="false">AVERAGE(03_CLEAN_DATA!$N$12:$N$13)</f>
        <v>61.9498332206532</v>
      </c>
      <c r="F102" s="11" t="n">
        <f aca="false">MEDIAN(03_CLEAN_DATA!$N$12:$N$13)</f>
        <v>61.9498332206532</v>
      </c>
      <c r="G102" s="11" t="n">
        <f aca="false">AVERAGE(03_CLEAN_DATA!$N$14:$N$17)</f>
        <v>-22.5537817273204</v>
      </c>
      <c r="H102" s="11" t="n">
        <f aca="false">MEDIAN(03_CLEAN_DATA!$N$14:$N$17)</f>
        <v>-27.9413564785227</v>
      </c>
      <c r="I102" s="11" t="n">
        <f aca="false">AVERAGE(03_CLEAN_DATA!$N$3:$N$11)</f>
        <v>9.16155715732251</v>
      </c>
    </row>
    <row r="103" customFormat="false" ht="15" hidden="false" customHeight="false" outlineLevel="0" collapsed="false">
      <c r="A103" s="7" t="s">
        <v>299</v>
      </c>
      <c r="B103" s="7" t="s">
        <v>130</v>
      </c>
      <c r="C103" s="11" t="n">
        <f aca="false">AVERAGE(03_CLEAN_DATA!$N$18:$N$27)</f>
        <v>2.91471935117242</v>
      </c>
      <c r="D103" s="11" t="n">
        <f aca="false">MEDIAN(03_CLEAN_DATA!$N$18:$N$27)</f>
        <v>3.32175066266798</v>
      </c>
      <c r="E103" s="11" t="n">
        <f aca="false">AVERAGE(03_CLEAN_DATA!$N$28:$N$29)</f>
        <v>4.3790289861702</v>
      </c>
      <c r="F103" s="11" t="n">
        <f aca="false">MEDIAN(03_CLEAN_DATA!$N$28:$N$29)</f>
        <v>4.3790289861702</v>
      </c>
      <c r="G103" s="11" t="n">
        <f aca="false">AVERAGE(03_CLEAN_DATA!$N$30:$N$33)</f>
        <v>3.66572678864947</v>
      </c>
      <c r="H103" s="11" t="n">
        <f aca="false">MEDIAN(03_CLEAN_DATA!$N$30:$N$33)</f>
        <v>3.31720932594662</v>
      </c>
      <c r="I103" s="11" t="n">
        <f aca="false">AVERAGE(03_CLEAN_DATA!$N$19:$N$27)</f>
        <v>2.80025543233079</v>
      </c>
    </row>
    <row r="104" customFormat="false" ht="15" hidden="false" customHeight="false" outlineLevel="0" collapsed="false">
      <c r="A104" s="7" t="s">
        <v>299</v>
      </c>
      <c r="B104" s="7" t="s">
        <v>132</v>
      </c>
      <c r="C104" s="11" t="n">
        <f aca="false">AVERAGE(03_CLEAN_DATA!$N$34:$N$43)</f>
        <v>3.73340214886061</v>
      </c>
      <c r="D104" s="11" t="n">
        <f aca="false">MEDIAN(03_CLEAN_DATA!$N$34:$N$43)</f>
        <v>4.01107945521045</v>
      </c>
      <c r="E104" s="11" t="n">
        <f aca="false">AVERAGE(03_CLEAN_DATA!$N$44:$N$45)</f>
        <v>3.91071795406333</v>
      </c>
      <c r="F104" s="11" t="n">
        <f aca="false">MEDIAN(03_CLEAN_DATA!$N$44:$N$45)</f>
        <v>3.91071795406333</v>
      </c>
      <c r="G104" s="11" t="n">
        <f aca="false">AVERAGE(03_CLEAN_DATA!$N$46:$N$49)</f>
        <v>3.26380974987706</v>
      </c>
      <c r="H104" s="11" t="n">
        <f aca="false">MEDIAN(03_CLEAN_DATA!$N$46:$N$49)</f>
        <v>3.23780853876769</v>
      </c>
      <c r="I104" s="11" t="n">
        <f aca="false">AVERAGE(03_CLEAN_DATA!$N$35:$N$43)</f>
        <v>3.61322129259243</v>
      </c>
    </row>
    <row r="105" customFormat="false" ht="15" hidden="false" customHeight="false" outlineLevel="0" collapsed="false">
      <c r="A105" s="7" t="s">
        <v>299</v>
      </c>
      <c r="B105" s="7" t="s">
        <v>134</v>
      </c>
      <c r="C105" s="11" t="n">
        <f aca="false">AVERAGE(03_CLEAN_DATA!$N$50:$N$59)</f>
        <v>2.59503667548436</v>
      </c>
      <c r="D105" s="11" t="n">
        <f aca="false">MEDIAN(03_CLEAN_DATA!$N$50:$N$59)</f>
        <v>2.13330508128551</v>
      </c>
      <c r="E105" s="11" t="n">
        <f aca="false">AVERAGE(03_CLEAN_DATA!$N$60:$N$61)</f>
        <v>0.59856139610108</v>
      </c>
      <c r="F105" s="11" t="n">
        <f aca="false">MEDIAN(03_CLEAN_DATA!$N$60:$N$61)</f>
        <v>0.59856139610108</v>
      </c>
      <c r="G105" s="11" t="n">
        <f aca="false">AVERAGE(03_CLEAN_DATA!$N$62:$N$65)</f>
        <v>2.36167410129243</v>
      </c>
      <c r="H105" s="11" t="n">
        <f aca="false">MEDIAN(03_CLEAN_DATA!$N$62:$N$65)</f>
        <v>2.44203634976221</v>
      </c>
      <c r="I105" s="11" t="n">
        <f aca="false">AVERAGE(03_CLEAN_DATA!$N$51:$N$59)</f>
        <v>2.62534864679312</v>
      </c>
    </row>
    <row r="106" customFormat="false" ht="15" hidden="false" customHeight="false" outlineLevel="0" collapsed="false">
      <c r="A106" s="7" t="s">
        <v>171</v>
      </c>
      <c r="B106" s="7" t="s">
        <v>128</v>
      </c>
      <c r="C106" s="11" t="n">
        <f aca="false">AVERAGE(04_CALCULATIONS!$E$2:$E$11)</f>
        <v>5.68950481918209</v>
      </c>
      <c r="D106" s="11" t="n">
        <f aca="false">MEDIAN(04_CALCULATIONS!$E$2:$E$11)</f>
        <v>5.84774696839766</v>
      </c>
      <c r="E106" s="11" t="n">
        <f aca="false">AVERAGE(04_CALCULATIONS!$E$12:$E$13)</f>
        <v>0.642100991837174</v>
      </c>
      <c r="F106" s="11" t="n">
        <f aca="false">MEDIAN(04_CALCULATIONS!$E$12:$E$13)</f>
        <v>0.642100991837174</v>
      </c>
      <c r="G106" s="11" t="n">
        <f aca="false">AVERAGE(04_CALCULATIONS!$E$14:$E$17)</f>
        <v>1.93929720733179</v>
      </c>
      <c r="H106" s="11" t="n">
        <f aca="false">MEDIAN(04_CALCULATIONS!$E$14:$E$17)</f>
        <v>4.31265528855543</v>
      </c>
      <c r="I106" s="11" t="n">
        <f aca="false">AVERAGE(04_CALCULATIONS!$E$3:$E$11)</f>
        <v>5.80300013185711</v>
      </c>
    </row>
    <row r="107" customFormat="false" ht="15" hidden="false" customHeight="false" outlineLevel="0" collapsed="false">
      <c r="A107" s="7" t="s">
        <v>171</v>
      </c>
      <c r="B107" s="7" t="s">
        <v>130</v>
      </c>
      <c r="C107" s="11" t="n">
        <f aca="false">AVERAGE(04_CALCULATIONS!$E$18:$E$27)</f>
        <v>0.951295031416689</v>
      </c>
      <c r="D107" s="11" t="n">
        <f aca="false">MEDIAN(04_CALCULATIONS!$E$18:$E$27)</f>
        <v>1.56987890210534</v>
      </c>
      <c r="E107" s="11" t="n">
        <f aca="false">AVERAGE(04_CALCULATIONS!$E$28:$E$29)</f>
        <v>4.40517446608224</v>
      </c>
      <c r="F107" s="11" t="n">
        <f aca="false">MEDIAN(04_CALCULATIONS!$E$28:$E$29)</f>
        <v>4.40517446608224</v>
      </c>
      <c r="G107" s="11" t="n">
        <f aca="false">AVERAGE(04_CALCULATIONS!$E$30:$E$33)</f>
        <v>3.57310962694479</v>
      </c>
      <c r="H107" s="11" t="n">
        <f aca="false">MEDIAN(04_CALCULATIONS!$E$30:$E$33)</f>
        <v>3.4355659398806</v>
      </c>
      <c r="I107" s="11" t="n">
        <f aca="false">AVERAGE(04_CALCULATIONS!$E$19:$E$27)</f>
        <v>1.32826543816837</v>
      </c>
    </row>
    <row r="108" customFormat="false" ht="15" hidden="false" customHeight="false" outlineLevel="0" collapsed="false">
      <c r="A108" s="7" t="s">
        <v>171</v>
      </c>
      <c r="B108" s="7" t="s">
        <v>132</v>
      </c>
      <c r="C108" s="11" t="n">
        <f aca="false">AVERAGE(04_CALCULATIONS!$E$34:$E$43)</f>
        <v>5.6919431413244</v>
      </c>
      <c r="D108" s="11" t="n">
        <f aca="false">MEDIAN(04_CALCULATIONS!$E$34:$E$43)</f>
        <v>6.04228918552442</v>
      </c>
      <c r="E108" s="11" t="n">
        <f aca="false">AVERAGE(04_CALCULATIONS!$E$44:$E$45)</f>
        <v>5.23174507290065</v>
      </c>
      <c r="F108" s="11" t="n">
        <f aca="false">MEDIAN(04_CALCULATIONS!$E$44:$E$45)</f>
        <v>5.23174507290065</v>
      </c>
      <c r="G108" s="11" t="n">
        <f aca="false">AVERAGE(04_CALCULATIONS!$E$46:$E$49)</f>
        <v>4.45554513391295</v>
      </c>
      <c r="H108" s="11" t="n">
        <f aca="false">MEDIAN(04_CALCULATIONS!$E$46:$E$49)</f>
        <v>5.38218502799237</v>
      </c>
      <c r="I108" s="11" t="n">
        <f aca="false">AVERAGE(04_CALCULATIONS!$E$35:$E$43)</f>
        <v>5.98807949988287</v>
      </c>
    </row>
    <row r="109" customFormat="false" ht="15" hidden="false" customHeight="false" outlineLevel="0" collapsed="false">
      <c r="A109" s="7" t="s">
        <v>171</v>
      </c>
      <c r="B109" s="7" t="s">
        <v>134</v>
      </c>
      <c r="C109" s="11" t="n">
        <f aca="false">AVERAGE(04_CALCULATIONS!$E$50:$E$59)</f>
        <v>1.91431535624696</v>
      </c>
      <c r="D109" s="11" t="n">
        <f aca="false">MEDIAN(04_CALCULATIONS!$E$50:$E$59)</f>
        <v>1.56307038552763</v>
      </c>
      <c r="E109" s="11" t="n">
        <f aca="false">AVERAGE(04_CALCULATIONS!$E$60:$E$61)</f>
        <v>0.303376304932408</v>
      </c>
      <c r="F109" s="11" t="n">
        <f aca="false">MEDIAN(04_CALCULATIONS!$E$60:$E$61)</f>
        <v>0.303376304932408</v>
      </c>
      <c r="G109" s="11" t="n">
        <f aca="false">AVERAGE(04_CALCULATIONS!$E$62:$E$65)</f>
        <v>-1.18103291473471</v>
      </c>
      <c r="H109" s="11" t="n">
        <f aca="false">MEDIAN(04_CALCULATIONS!$E$62:$E$65)</f>
        <v>-0.199519910327823</v>
      </c>
      <c r="I109" s="11" t="n">
        <f aca="false">AVERAGE(04_CALCULATIONS!$E$51:$E$59)</f>
        <v>2.23216523017568</v>
      </c>
    </row>
    <row r="110" customFormat="false" ht="15" hidden="false" customHeight="false" outlineLevel="0" collapsed="false">
      <c r="A110" s="9" t="s">
        <v>321</v>
      </c>
    </row>
    <row r="112" customFormat="false" ht="15" hidden="false" customHeight="false" outlineLevel="0" collapsed="false">
      <c r="A112" s="4" t="s">
        <v>322</v>
      </c>
    </row>
    <row r="113" customFormat="false" ht="48" hidden="false" customHeight="true" outlineLevel="0" collapsed="false">
      <c r="A113" s="6" t="s">
        <v>323</v>
      </c>
      <c r="B113" s="6" t="s">
        <v>324</v>
      </c>
      <c r="C113" s="6" t="s">
        <v>325</v>
      </c>
      <c r="D113" s="6" t="s">
        <v>326</v>
      </c>
      <c r="E113" s="6" t="s">
        <v>327</v>
      </c>
      <c r="F113" s="6" t="s">
        <v>328</v>
      </c>
      <c r="G113" s="6" t="s">
        <v>329</v>
      </c>
      <c r="H113" s="6" t="s">
        <v>330</v>
      </c>
      <c r="I113" s="6" t="s">
        <v>331</v>
      </c>
    </row>
    <row r="114" customFormat="false" ht="15" hidden="false" customHeight="false" outlineLevel="0" collapsed="false">
      <c r="A114" s="7" t="s">
        <v>332</v>
      </c>
      <c r="B114" s="7" t="s">
        <v>333</v>
      </c>
      <c r="C114" s="7" t="s">
        <v>299</v>
      </c>
      <c r="D114" s="11" t="n">
        <f aca="false">CORREL(04_CALCULATIONS!$D$2:$D$65,03_CLEAN_DATA!$N$2:$N$65)</f>
        <v>-0.130269304851348</v>
      </c>
      <c r="E114" s="11" t="n">
        <f aca="false">CORREL(04_CALCULATIONS!$D$2:$D$17,03_CLEAN_DATA!$N$2:$N$17)</f>
        <v>-0.284758437068676</v>
      </c>
      <c r="F114" s="11" t="n">
        <f aca="false">CORREL(04_CALCULATIONS!$D$18:$D$33,03_CLEAN_DATA!$N$18:$N$33)</f>
        <v>0.410679861338705</v>
      </c>
      <c r="G114" s="11" t="n">
        <f aca="false">CORREL(04_CALCULATIONS!$D$34:$D$49,03_CLEAN_DATA!$N$34:$N$49)</f>
        <v>0.0964191570102051</v>
      </c>
      <c r="H114" s="11" t="n">
        <f aca="false">CORREL(04_CALCULATIONS!$D$50:$D$65,03_CLEAN_DATA!$N$50:$N$65)</f>
        <v>0.345371007900713</v>
      </c>
      <c r="I114" s="11" t="n">
        <f aca="false">CORREL(04_CALCULATIONS!$D$18:$D$65,03_CLEAN_DATA!$N$18:$N$65)</f>
        <v>0.264885307801836</v>
      </c>
    </row>
    <row r="115" customFormat="false" ht="15" hidden="false" customHeight="false" outlineLevel="0" collapsed="false">
      <c r="A115" s="7" t="s">
        <v>334</v>
      </c>
      <c r="B115" s="7" t="s">
        <v>333</v>
      </c>
      <c r="C115" s="7" t="s">
        <v>296</v>
      </c>
      <c r="D115" s="11" t="n">
        <f aca="false">CORREL(04_CALCULATIONS!$D$2:$D$65,03_CLEAN_DATA!$E$2:$E$65)</f>
        <v>0.725062137728182</v>
      </c>
      <c r="E115" s="11" t="n">
        <f aca="false">CORREL(04_CALCULATIONS!$D$2:$D$17,03_CLEAN_DATA!$E$2:$E$17)</f>
        <v>0.757382226192798</v>
      </c>
      <c r="F115" s="11" t="n">
        <f aca="false">CORREL(04_CALCULATIONS!$D$18:$D$33,03_CLEAN_DATA!$E$18:$E$33)</f>
        <v>0.687222085120895</v>
      </c>
      <c r="G115" s="11" t="n">
        <f aca="false">CORREL(04_CALCULATIONS!$D$34:$D$49,03_CLEAN_DATA!$E$34:$E$49)</f>
        <v>0.687537219192152</v>
      </c>
      <c r="H115" s="11" t="n">
        <f aca="false">CORREL(04_CALCULATIONS!$D$50:$D$65,03_CLEAN_DATA!$E$50:$E$65)</f>
        <v>0.7716370190922</v>
      </c>
      <c r="I115" s="11" t="n">
        <f aca="false">CORREL(04_CALCULATIONS!$D$18:$D$65,03_CLEAN_DATA!$E$18:$E$65)</f>
        <v>0.713835125807784</v>
      </c>
    </row>
    <row r="116" customFormat="false" ht="15" hidden="false" customHeight="false" outlineLevel="0" collapsed="false">
      <c r="A116" s="7" t="s">
        <v>335</v>
      </c>
      <c r="B116" s="7" t="s">
        <v>333</v>
      </c>
      <c r="C116" s="7" t="s">
        <v>336</v>
      </c>
      <c r="D116" s="11" t="n">
        <f aca="false">CORREL(04_CALCULATIONS!$D$2:$D$65,03_CLEAN_DATA!$L$2:$L$65)</f>
        <v>-0.0922810803479274</v>
      </c>
      <c r="E116" s="11" t="n">
        <f aca="false">CORREL(04_CALCULATIONS!$D$2:$D$17,03_CLEAN_DATA!$L$2:$L$17)</f>
        <v>0.588126690278535</v>
      </c>
      <c r="F116" s="11" t="n">
        <f aca="false">CORREL(04_CALCULATIONS!$D$18:$D$33,03_CLEAN_DATA!$L$18:$L$33)</f>
        <v>-0.0405673486168006</v>
      </c>
      <c r="G116" s="11" t="n">
        <f aca="false">CORREL(04_CALCULATIONS!$D$34:$D$49,03_CLEAN_DATA!$L$34:$L$49)</f>
        <v>0.173805788130926</v>
      </c>
      <c r="H116" s="11" t="n">
        <f aca="false">CORREL(04_CALCULATIONS!$D$50:$D$65,03_CLEAN_DATA!$L$50:$L$65)</f>
        <v>-0.291926980432064</v>
      </c>
      <c r="I116" s="11" t="n">
        <f aca="false">CORREL(04_CALCULATIONS!$D$18:$D$65,03_CLEAN_DATA!$L$18:$L$65)</f>
        <v>-0.138285448242667</v>
      </c>
    </row>
    <row r="117" customFormat="false" ht="15" hidden="false" customHeight="false" outlineLevel="0" collapsed="false">
      <c r="A117" s="7" t="s">
        <v>337</v>
      </c>
      <c r="B117" s="7" t="s">
        <v>333</v>
      </c>
      <c r="C117" s="7" t="s">
        <v>170</v>
      </c>
      <c r="D117" s="11" t="n">
        <f aca="false">CORREL(04_CALCULATIONS!$D$2:$D$65,03_CLEAN_DATA!$O$2:$O$65)</f>
        <v>0.00789615262727791</v>
      </c>
      <c r="E117" s="11" t="n">
        <f aca="false">CORREL(04_CALCULATIONS!$D$2:$D$17,03_CLEAN_DATA!$O$2:$O$17)</f>
        <v>0.346970893144271</v>
      </c>
      <c r="F117" s="11" t="n">
        <f aca="false">CORREL(04_CALCULATIONS!$D$18:$D$33,03_CLEAN_DATA!$O$18:$O$33)</f>
        <v>0.323467939690883</v>
      </c>
      <c r="G117" s="11" t="n">
        <f aca="false">CORREL(04_CALCULATIONS!$D$34:$D$49,03_CLEAN_DATA!$O$34:$O$49)</f>
        <v>0.121220289092314</v>
      </c>
      <c r="H117" s="11" t="n">
        <f aca="false">CORREL(04_CALCULATIONS!$D$50:$D$65,03_CLEAN_DATA!$O$50:$O$65)</f>
        <v>-0.0570614004110675</v>
      </c>
      <c r="I117" s="11" t="n">
        <f aca="false">CORREL(04_CALCULATIONS!$D$18:$D$65,03_CLEAN_DATA!$O$18:$O$65)</f>
        <v>-0.0680592996674586</v>
      </c>
    </row>
    <row r="118" customFormat="false" ht="15" hidden="false" customHeight="false" outlineLevel="0" collapsed="false">
      <c r="A118" s="7" t="s">
        <v>338</v>
      </c>
      <c r="B118" s="7" t="s">
        <v>333</v>
      </c>
      <c r="C118" s="7" t="s">
        <v>339</v>
      </c>
      <c r="D118" s="11" t="n">
        <f aca="false">CORREL(04_CALCULATIONS!$D$2:$D$65,03_CLEAN_DATA!$J$2:$J$65)</f>
        <v>-0.114038217568838</v>
      </c>
      <c r="E118" s="11" t="n">
        <f aca="false">CORREL(04_CALCULATIONS!$D$2:$D$17,03_CLEAN_DATA!$J$2:$J$17)</f>
        <v>0.54767385285001</v>
      </c>
      <c r="F118" s="11" t="n">
        <f aca="false">CORREL(04_CALCULATIONS!$D$18:$D$33,03_CLEAN_DATA!$J$18:$J$33)</f>
        <v>-0.133298947699572</v>
      </c>
      <c r="G118" s="11" t="n">
        <f aca="false">CORREL(04_CALCULATIONS!$D$34:$D$49,03_CLEAN_DATA!$J$34:$J$49)</f>
        <v>0.0906368354953307</v>
      </c>
      <c r="H118" s="11" t="n">
        <f aca="false">CORREL(04_CALCULATIONS!$D$50:$D$65,03_CLEAN_DATA!$J$50:$J$65)</f>
        <v>-0.304422975895964</v>
      </c>
      <c r="I118" s="11" t="n">
        <f aca="false">CORREL(04_CALCULATIONS!$D$18:$D$65,03_CLEAN_DATA!$J$18:$J$65)</f>
        <v>-0.158768020459607</v>
      </c>
    </row>
    <row r="119" customFormat="false" ht="15" hidden="false" customHeight="false" outlineLevel="0" collapsed="false">
      <c r="A119" s="7" t="s">
        <v>340</v>
      </c>
      <c r="B119" s="7" t="s">
        <v>299</v>
      </c>
      <c r="C119" s="7" t="s">
        <v>296</v>
      </c>
      <c r="D119" s="11" t="n">
        <f aca="false">CORREL(03_CLEAN_DATA!$N$2:$N$65,03_CLEAN_DATA!$E$2:$E$65)</f>
        <v>-0.12158475360704</v>
      </c>
      <c r="E119" s="11" t="n">
        <f aca="false">CORREL(03_CLEAN_DATA!$N$2:$N$17,03_CLEAN_DATA!$E$2:$E$17)</f>
        <v>-0.22839737410532</v>
      </c>
      <c r="F119" s="11" t="n">
        <f aca="false">CORREL(03_CLEAN_DATA!$N$18:$N$33,03_CLEAN_DATA!$E$18:$E$33)</f>
        <v>0.390359178758448</v>
      </c>
      <c r="G119" s="11" t="n">
        <f aca="false">CORREL(03_CLEAN_DATA!$N$34:$N$49,03_CLEAN_DATA!$E$34:$E$49)</f>
        <v>-0.000997712657341617</v>
      </c>
      <c r="H119" s="11" t="n">
        <f aca="false">CORREL(03_CLEAN_DATA!$N$50:$N$65,03_CLEAN_DATA!$E$50:$E$65)</f>
        <v>0.231324427167201</v>
      </c>
      <c r="I119" s="11" t="n">
        <f aca="false">CORREL(03_CLEAN_DATA!$N$18:$N$65,03_CLEAN_DATA!$E$18:$E$65)</f>
        <v>0.179866685693941</v>
      </c>
    </row>
    <row r="120" customFormat="false" ht="15" hidden="false" customHeight="false" outlineLevel="0" collapsed="false">
      <c r="A120" s="7" t="s">
        <v>341</v>
      </c>
      <c r="B120" s="7" t="s">
        <v>299</v>
      </c>
      <c r="C120" s="7" t="s">
        <v>336</v>
      </c>
      <c r="D120" s="11" t="n">
        <f aca="false">CORREL(03_CLEAN_DATA!$N$2:$N$65,03_CLEAN_DATA!$L$2:$L$65)</f>
        <v>0.0210126520359789</v>
      </c>
      <c r="E120" s="11" t="n">
        <f aca="false">CORREL(03_CLEAN_DATA!$N$2:$N$17,03_CLEAN_DATA!$L$2:$L$17)</f>
        <v>0.0630525385513876</v>
      </c>
      <c r="F120" s="11" t="n">
        <f aca="false">CORREL(03_CLEAN_DATA!$N$18:$N$33,03_CLEAN_DATA!$L$18:$L$33)</f>
        <v>0.584175424245439</v>
      </c>
      <c r="G120" s="11" t="n">
        <f aca="false">CORREL(03_CLEAN_DATA!$N$34:$N$49,03_CLEAN_DATA!$L$34:$L$49)</f>
        <v>-0.0490402938203763</v>
      </c>
      <c r="H120" s="11" t="n">
        <f aca="false">CORREL(03_CLEAN_DATA!$N$50:$N$65,03_CLEAN_DATA!$L$50:$L$65)</f>
        <v>0.248687312681956</v>
      </c>
      <c r="I120" s="11" t="n">
        <f aca="false">CORREL(03_CLEAN_DATA!$N$18:$N$65,03_CLEAN_DATA!$L$18:$L$65)</f>
        <v>-0.164631120633521</v>
      </c>
    </row>
    <row r="121" customFormat="false" ht="15" hidden="false" customHeight="false" outlineLevel="0" collapsed="false">
      <c r="A121" s="7" t="s">
        <v>342</v>
      </c>
      <c r="B121" s="7" t="s">
        <v>299</v>
      </c>
      <c r="C121" s="7" t="s">
        <v>170</v>
      </c>
      <c r="D121" s="11" t="n">
        <f aca="false">CORREL(03_CLEAN_DATA!$N$2:$N$65,03_CLEAN_DATA!$O$2:$O$65)</f>
        <v>0.0458704195999958</v>
      </c>
      <c r="E121" s="11" t="n">
        <f aca="false">CORREL(03_CLEAN_DATA!$N$2:$N$17,03_CLEAN_DATA!$O$2:$O$17)</f>
        <v>0.122187050570899</v>
      </c>
      <c r="F121" s="11" t="n">
        <f aca="false">CORREL(03_CLEAN_DATA!$N$18:$N$33,03_CLEAN_DATA!$O$18:$O$33)</f>
        <v>0.636971163131264</v>
      </c>
      <c r="G121" s="11" t="n">
        <f aca="false">CORREL(03_CLEAN_DATA!$N$34:$N$49,03_CLEAN_DATA!$O$34:$O$49)</f>
        <v>0.0435853592769322</v>
      </c>
      <c r="H121" s="11" t="n">
        <f aca="false">CORREL(03_CLEAN_DATA!$N$50:$N$65,03_CLEAN_DATA!$O$50:$O$65)</f>
        <v>-0.10070965373629</v>
      </c>
      <c r="I121" s="11" t="n">
        <f aca="false">CORREL(03_CLEAN_DATA!$N$18:$N$65,03_CLEAN_DATA!$O$18:$O$65)</f>
        <v>0.249653698375047</v>
      </c>
    </row>
    <row r="122" customFormat="false" ht="15" hidden="false" customHeight="false" outlineLevel="0" collapsed="false">
      <c r="A122" s="7" t="s">
        <v>343</v>
      </c>
      <c r="B122" s="7" t="s">
        <v>299</v>
      </c>
      <c r="C122" s="7" t="s">
        <v>339</v>
      </c>
      <c r="D122" s="11" t="n">
        <f aca="false">CORREL(03_CLEAN_DATA!$N$2:$N$65,03_CLEAN_DATA!$J$2:$J$65)</f>
        <v>0.0163232944753319</v>
      </c>
      <c r="E122" s="11" t="n">
        <f aca="false">CORREL(03_CLEAN_DATA!$N$2:$N$17,03_CLEAN_DATA!$J$2:$J$17)</f>
        <v>0.0182075399018099</v>
      </c>
      <c r="F122" s="11" t="n">
        <f aca="false">CORREL(03_CLEAN_DATA!$N$18:$N$33,03_CLEAN_DATA!$J$18:$J$33)</f>
        <v>0.522873599851661</v>
      </c>
      <c r="G122" s="11" t="n">
        <f aca="false">CORREL(03_CLEAN_DATA!$N$34:$N$49,03_CLEAN_DATA!$J$34:$J$49)</f>
        <v>-0.00832415774532777</v>
      </c>
      <c r="H122" s="11" t="n">
        <f aca="false">CORREL(03_CLEAN_DATA!$N$50:$N$65,03_CLEAN_DATA!$J$50:$J$65)</f>
        <v>0.157137824635979</v>
      </c>
      <c r="I122" s="11" t="n">
        <f aca="false">CORREL(03_CLEAN_DATA!$N$18:$N$65,03_CLEAN_DATA!$J$18:$J$65)</f>
        <v>-0.155570313914189</v>
      </c>
    </row>
    <row r="123" customFormat="false" ht="15" hidden="false" customHeight="false" outlineLevel="0" collapsed="false">
      <c r="A123" s="7" t="s">
        <v>344</v>
      </c>
      <c r="B123" s="7" t="s">
        <v>296</v>
      </c>
      <c r="C123" s="7" t="s">
        <v>336</v>
      </c>
      <c r="D123" s="11" t="n">
        <f aca="false">CORREL(03_CLEAN_DATA!$E$2:$E$65,03_CLEAN_DATA!$L$2:$L$65)</f>
        <v>-0.0825136478487903</v>
      </c>
      <c r="E123" s="11" t="n">
        <f aca="false">CORREL(03_CLEAN_DATA!$E$2:$E$17,03_CLEAN_DATA!$L$2:$L$17)</f>
        <v>0.372653552620602</v>
      </c>
      <c r="F123" s="11" t="n">
        <f aca="false">CORREL(03_CLEAN_DATA!$E$18:$E$33,03_CLEAN_DATA!$L$18:$L$33)</f>
        <v>0.219589364641971</v>
      </c>
      <c r="G123" s="11" t="n">
        <f aca="false">CORREL(03_CLEAN_DATA!$E$34:$E$49,03_CLEAN_DATA!$L$34:$L$49)</f>
        <v>0.384787373137687</v>
      </c>
      <c r="H123" s="11" t="n">
        <f aca="false">CORREL(03_CLEAN_DATA!$E$50:$E$65,03_CLEAN_DATA!$L$50:$L$65)</f>
        <v>-0.143607979960086</v>
      </c>
      <c r="I123" s="11" t="n">
        <f aca="false">CORREL(03_CLEAN_DATA!$E$18:$E$65,03_CLEAN_DATA!$L$18:$L$65)</f>
        <v>-0.124825227103963</v>
      </c>
    </row>
    <row r="124" customFormat="false" ht="15" hidden="false" customHeight="false" outlineLevel="0" collapsed="false">
      <c r="A124" s="7" t="s">
        <v>345</v>
      </c>
      <c r="B124" s="7" t="s">
        <v>296</v>
      </c>
      <c r="C124" s="7" t="s">
        <v>170</v>
      </c>
      <c r="D124" s="11" t="n">
        <f aca="false">CORREL(03_CLEAN_DATA!$E$2:$E$65,03_CLEAN_DATA!$O$2:$O$65)</f>
        <v>-0.0401863528278904</v>
      </c>
      <c r="E124" s="11" t="n">
        <f aca="false">CORREL(03_CLEAN_DATA!$E$2:$E$17,03_CLEAN_DATA!$O$2:$O$17)</f>
        <v>0.187192552535564</v>
      </c>
      <c r="F124" s="11" t="n">
        <f aca="false">CORREL(03_CLEAN_DATA!$E$18:$E$33,03_CLEAN_DATA!$O$18:$O$33)</f>
        <v>0.22612010358769</v>
      </c>
      <c r="G124" s="11" t="n">
        <f aca="false">CORREL(03_CLEAN_DATA!$E$34:$E$49,03_CLEAN_DATA!$O$34:$O$49)</f>
        <v>0.261163783265571</v>
      </c>
      <c r="H124" s="11" t="n">
        <f aca="false">CORREL(03_CLEAN_DATA!$E$50:$E$65,03_CLEAN_DATA!$O$50:$O$65)</f>
        <v>0.170762964425953</v>
      </c>
      <c r="I124" s="11" t="n">
        <f aca="false">CORREL(03_CLEAN_DATA!$E$18:$E$65,03_CLEAN_DATA!$O$18:$O$65)</f>
        <v>-0.102986006669553</v>
      </c>
    </row>
    <row r="125" customFormat="false" ht="15" hidden="false" customHeight="false" outlineLevel="0" collapsed="false">
      <c r="A125" s="7" t="s">
        <v>346</v>
      </c>
      <c r="B125" s="7" t="s">
        <v>296</v>
      </c>
      <c r="C125" s="7" t="s">
        <v>339</v>
      </c>
      <c r="D125" s="11" t="n">
        <f aca="false">CORREL(03_CLEAN_DATA!$E$2:$E$65,03_CLEAN_DATA!$J$2:$J$65)</f>
        <v>-0.101899875742402</v>
      </c>
      <c r="E125" s="11" t="n">
        <f aca="false">CORREL(03_CLEAN_DATA!$E$2:$E$17,03_CLEAN_DATA!$J$2:$J$17)</f>
        <v>0.323732026846856</v>
      </c>
      <c r="F125" s="11" t="n">
        <f aca="false">CORREL(03_CLEAN_DATA!$E$18:$E$33,03_CLEAN_DATA!$J$18:$J$33)</f>
        <v>0.129146783750361</v>
      </c>
      <c r="G125" s="11" t="n">
        <f aca="false">CORREL(03_CLEAN_DATA!$E$34:$E$49,03_CLEAN_DATA!$J$34:$J$49)</f>
        <v>0.350244512143121</v>
      </c>
      <c r="H125" s="11" t="n">
        <f aca="false">CORREL(03_CLEAN_DATA!$E$50:$E$65,03_CLEAN_DATA!$J$50:$J$65)</f>
        <v>-0.161690737489643</v>
      </c>
      <c r="I125" s="11" t="n">
        <f aca="false">CORREL(03_CLEAN_DATA!$E$18:$E$65,03_CLEAN_DATA!$J$18:$J$65)</f>
        <v>-0.14280666239305</v>
      </c>
    </row>
    <row r="126" customFormat="false" ht="15" hidden="false" customHeight="false" outlineLevel="0" collapsed="false">
      <c r="A126" s="7" t="s">
        <v>347</v>
      </c>
      <c r="B126" s="7" t="s">
        <v>336</v>
      </c>
      <c r="C126" s="7" t="s">
        <v>170</v>
      </c>
      <c r="D126" s="11" t="n">
        <f aca="false">CORREL(03_CLEAN_DATA!$L$2:$L$65,03_CLEAN_DATA!$O$2:$O$65)</f>
        <v>0.165613776252297</v>
      </c>
      <c r="E126" s="11" t="n">
        <f aca="false">CORREL(03_CLEAN_DATA!$L$2:$L$17,03_CLEAN_DATA!$O$2:$O$17)</f>
        <v>0.535061574031793</v>
      </c>
      <c r="F126" s="11" t="n">
        <f aca="false">CORREL(03_CLEAN_DATA!$L$18:$L$33,03_CLEAN_DATA!$O$18:$O$33)</f>
        <v>0.430133177749333</v>
      </c>
      <c r="G126" s="11" t="n">
        <f aca="false">CORREL(03_CLEAN_DATA!$L$34:$L$49,03_CLEAN_DATA!$O$34:$O$49)</f>
        <v>0.759161374366156</v>
      </c>
      <c r="H126" s="11" t="n">
        <f aca="false">CORREL(03_CLEAN_DATA!$L$50:$L$65,03_CLEAN_DATA!$O$50:$O$65)</f>
        <v>0.209340251044349</v>
      </c>
      <c r="I126" s="11" t="n">
        <f aca="false">CORREL(03_CLEAN_DATA!$L$18:$L$65,03_CLEAN_DATA!$O$18:$O$65)</f>
        <v>0.20278447701679</v>
      </c>
    </row>
    <row r="127" customFormat="false" ht="15" hidden="false" customHeight="false" outlineLevel="0" collapsed="false">
      <c r="A127" s="7" t="s">
        <v>348</v>
      </c>
      <c r="B127" s="7" t="s">
        <v>336</v>
      </c>
      <c r="C127" s="7" t="s">
        <v>339</v>
      </c>
      <c r="D127" s="11" t="n">
        <f aca="false">CORREL(03_CLEAN_DATA!$L$2:$L$65,03_CLEAN_DATA!$J$2:$J$65)</f>
        <v>0.995361107073586</v>
      </c>
      <c r="E127" s="11" t="n">
        <f aca="false">CORREL(03_CLEAN_DATA!$L$2:$L$17,03_CLEAN_DATA!$J$2:$J$17)</f>
        <v>0.938543105109808</v>
      </c>
      <c r="F127" s="11" t="n">
        <f aca="false">CORREL(03_CLEAN_DATA!$L$18:$L$33,03_CLEAN_DATA!$J$18:$J$33)</f>
        <v>0.987105841671084</v>
      </c>
      <c r="G127" s="11" t="n">
        <f aca="false">CORREL(03_CLEAN_DATA!$L$34:$L$49,03_CLEAN_DATA!$J$34:$J$49)</f>
        <v>0.984518017171957</v>
      </c>
      <c r="H127" s="11" t="n">
        <f aca="false">CORREL(03_CLEAN_DATA!$L$50:$L$65,03_CLEAN_DATA!$J$50:$J$65)</f>
        <v>0.971425034455103</v>
      </c>
      <c r="I127" s="11" t="n">
        <f aca="false">CORREL(03_CLEAN_DATA!$L$18:$L$65,03_CLEAN_DATA!$J$18:$J$65)</f>
        <v>0.996413593148004</v>
      </c>
    </row>
    <row r="128" customFormat="false" ht="15" hidden="false" customHeight="false" outlineLevel="0" collapsed="false">
      <c r="A128" s="7" t="s">
        <v>349</v>
      </c>
      <c r="B128" s="7" t="s">
        <v>170</v>
      </c>
      <c r="C128" s="7" t="s">
        <v>339</v>
      </c>
      <c r="D128" s="11" t="n">
        <f aca="false">CORREL(03_CLEAN_DATA!$O$2:$O$65,03_CLEAN_DATA!$J$2:$J$65)</f>
        <v>0.220436700459253</v>
      </c>
      <c r="E128" s="11" t="n">
        <f aca="false">CORREL(03_CLEAN_DATA!$O$2:$O$17,03_CLEAN_DATA!$J$2:$J$17)</f>
        <v>0.766926443515069</v>
      </c>
      <c r="F128" s="11" t="n">
        <f aca="false">CORREL(03_CLEAN_DATA!$O$18:$O$33,03_CLEAN_DATA!$J$18:$J$33)</f>
        <v>0.412743781604503</v>
      </c>
      <c r="G128" s="11" t="n">
        <f aca="false">CORREL(03_CLEAN_DATA!$O$34:$O$49,03_CLEAN_DATA!$J$34:$J$49)</f>
        <v>0.82159405111981</v>
      </c>
      <c r="H128" s="11" t="n">
        <f aca="false">CORREL(03_CLEAN_DATA!$O$50:$O$65,03_CLEAN_DATA!$J$50:$J$65)</f>
        <v>0.255344576283198</v>
      </c>
      <c r="I128" s="11" t="n">
        <f aca="false">CORREL(03_CLEAN_DATA!$O$18:$O$65,03_CLEAN_DATA!$J$18:$J$65)</f>
        <v>0.258174487371069</v>
      </c>
    </row>
    <row r="129" customFormat="false" ht="15" hidden="false" customHeight="false" outlineLevel="0" collapsed="false">
      <c r="A129" s="9" t="s">
        <v>350</v>
      </c>
    </row>
    <row r="131" customFormat="false" ht="15" hidden="false" customHeight="false" outlineLevel="0" collapsed="false">
      <c r="A131" s="4" t="s">
        <v>351</v>
      </c>
    </row>
    <row r="132" customFormat="false" ht="15" hidden="false" customHeight="false" outlineLevel="0" collapsed="false">
      <c r="A132" s="2" t="s">
        <v>352</v>
      </c>
    </row>
    <row r="133" customFormat="false" ht="15" hidden="false" customHeight="false" outlineLevel="0" collapsed="false">
      <c r="A133" s="7" t="s">
        <v>353</v>
      </c>
      <c r="B133" s="14" t="n">
        <v>14</v>
      </c>
    </row>
    <row r="134" customFormat="false" ht="15" hidden="false" customHeight="false" outlineLevel="0" collapsed="false">
      <c r="A134" s="7" t="s">
        <v>354</v>
      </c>
      <c r="B134" s="14" t="n">
        <v>0.3</v>
      </c>
    </row>
    <row r="135" customFormat="false" ht="15" hidden="false" customHeight="false" outlineLevel="0" collapsed="false">
      <c r="A135" s="7" t="s">
        <v>355</v>
      </c>
      <c r="B135" s="14" t="n">
        <v>3</v>
      </c>
    </row>
    <row r="136" customFormat="false" ht="15" hidden="false" customHeight="false" outlineLevel="0" collapsed="false">
      <c r="A136" s="7" t="s">
        <v>356</v>
      </c>
      <c r="B136" s="14" t="n">
        <v>2020</v>
      </c>
      <c r="C136" s="14" t="n">
        <v>2021</v>
      </c>
    </row>
    <row r="138" customFormat="false" ht="15" hidden="false" customHeight="false" outlineLevel="0" collapsed="false">
      <c r="A138" s="2" t="s">
        <v>357</v>
      </c>
    </row>
    <row r="139" customFormat="false" ht="30" hidden="false" customHeight="true" outlineLevel="0" collapsed="false">
      <c r="A139" s="6" t="s">
        <v>358</v>
      </c>
      <c r="B139" s="6" t="s">
        <v>128</v>
      </c>
      <c r="C139" s="6" t="s">
        <v>130</v>
      </c>
      <c r="D139" s="6" t="s">
        <v>359</v>
      </c>
      <c r="E139" s="6" t="s">
        <v>134</v>
      </c>
    </row>
    <row r="140" customFormat="false" ht="15" hidden="false" customHeight="false" outlineLevel="0" collapsed="false">
      <c r="A140" s="7" t="s">
        <v>360</v>
      </c>
      <c r="B140" s="11" t="n">
        <f aca="false">AVERAGE(03_CLEAN_DATA!$L$2:$L$17)</f>
        <v>161.783413672551</v>
      </c>
      <c r="C140" s="11" t="n">
        <f aca="false">AVERAGE(03_CLEAN_DATA!$L$18:$L$33)</f>
        <v>98.4194350270689</v>
      </c>
      <c r="D140" s="11" t="n">
        <f aca="false">AVERAGE(03_CLEAN_DATA!$L$34:$L$49)</f>
        <v>140.380383588967</v>
      </c>
      <c r="E140" s="11" t="n">
        <f aca="false">AVERAGE(03_CLEAN_DATA!$L$50:$L$65)</f>
        <v>178.544674577077</v>
      </c>
    </row>
    <row r="141" customFormat="false" ht="15" hidden="false" customHeight="false" outlineLevel="0" collapsed="false">
      <c r="A141" s="7" t="s">
        <v>361</v>
      </c>
      <c r="B141" s="20" t="n">
        <f aca="false">SUMPRODUCT(--(03_CLEAN_DATA!$L$2:$L$17&gt;03_CLEAN_DATA!$L$18:$L$33))</f>
        <v>16</v>
      </c>
      <c r="C141" s="9" t="s">
        <v>297</v>
      </c>
      <c r="D141" s="20" t="n">
        <f aca="false">SUMPRODUCT(--(03_CLEAN_DATA!$L$34:$L$49&gt;03_CLEAN_DATA!$L$18:$L$33))</f>
        <v>16</v>
      </c>
      <c r="E141" s="20" t="n">
        <f aca="false">SUMPRODUCT(--(03_CLEAN_DATA!$L$50:$L$65&gt;03_CLEAN_DATA!$L$18:$L$33))</f>
        <v>16</v>
      </c>
    </row>
    <row r="142" customFormat="false" ht="15" hidden="false" customHeight="false" outlineLevel="0" collapsed="false">
      <c r="A142" s="2" t="s">
        <v>362</v>
      </c>
      <c r="B142" s="2" t="str">
        <f aca="false">IF(AND(B140&gt;C140,E140&gt;C140,B141&gt;=$B$133,E141&gt;=$B$133),"SUPPORTED","NOT SUPPORTED")</f>
        <v>SUPPORTED</v>
      </c>
    </row>
    <row r="144" customFormat="false" ht="15" hidden="false" customHeight="false" outlineLevel="0" collapsed="false">
      <c r="A144" s="2" t="s">
        <v>363</v>
      </c>
    </row>
    <row r="145" customFormat="false" ht="21.75" hidden="false" customHeight="true" outlineLevel="0" collapsed="false">
      <c r="A145" s="6" t="s">
        <v>358</v>
      </c>
      <c r="B145" s="6" t="s">
        <v>128</v>
      </c>
      <c r="C145" s="6" t="s">
        <v>130</v>
      </c>
      <c r="D145" s="6" t="s">
        <v>132</v>
      </c>
      <c r="E145" s="6" t="s">
        <v>134</v>
      </c>
    </row>
    <row r="146" customFormat="false" ht="15" hidden="false" customHeight="false" outlineLevel="0" collapsed="false">
      <c r="A146" s="7" t="s">
        <v>364</v>
      </c>
      <c r="B146" s="11" t="n">
        <f aca="false">AVERAGE(03_CLEAN_DATA!$O$2:$O$17)</f>
        <v>17.9105804990644</v>
      </c>
      <c r="C146" s="11" t="n">
        <f aca="false">AVERAGE(03_CLEAN_DATA!$O$18:$O$33)</f>
        <v>16.6905883761667</v>
      </c>
      <c r="D146" s="11" t="n">
        <f aca="false">AVERAGE(03_CLEAN_DATA!$O$34:$O$49)</f>
        <v>21.5117708428581</v>
      </c>
      <c r="E146" s="11" t="n">
        <f aca="false">AVERAGE(03_CLEAN_DATA!$O$50:$O$65)</f>
        <v>17.4021789525773</v>
      </c>
    </row>
    <row r="147" customFormat="false" ht="15" hidden="false" customHeight="false" outlineLevel="0" collapsed="false">
      <c r="A147" s="7" t="s">
        <v>365</v>
      </c>
      <c r="B147" s="11" t="n">
        <f aca="false">AVERAGE(03_CLEAN_DATA!$J$2:$J$17)</f>
        <v>82.9522205551762</v>
      </c>
      <c r="C147" s="11" t="n">
        <f aca="false">AVERAGE(03_CLEAN_DATA!$J$18:$J$33)</f>
        <v>50.2289593183504</v>
      </c>
      <c r="D147" s="11" t="n">
        <f aca="false">AVERAGE(03_CLEAN_DATA!$J$34:$J$49)</f>
        <v>72.8528512349427</v>
      </c>
      <c r="E147" s="11" t="n">
        <f aca="false">AVERAGE(03_CLEAN_DATA!$J$50:$J$65)</f>
        <v>89.7418927420823</v>
      </c>
    </row>
    <row r="148" customFormat="false" ht="15" hidden="false" customHeight="false" outlineLevel="0" collapsed="false">
      <c r="A148" s="7" t="s">
        <v>366</v>
      </c>
      <c r="B148" s="20" t="n">
        <f aca="false">RANK(B146,$B$146:$E$146)</f>
        <v>2</v>
      </c>
      <c r="C148" s="20" t="n">
        <f aca="false">RANK(C146,$B$146:$E$146)</f>
        <v>4</v>
      </c>
      <c r="D148" s="20" t="n">
        <f aca="false">RANK(D146,$B$146:$E$146)</f>
        <v>1</v>
      </c>
      <c r="E148" s="20" t="n">
        <f aca="false">RANK(E146,$B$146:$E$146)</f>
        <v>3</v>
      </c>
    </row>
    <row r="149" customFormat="false" ht="15" hidden="false" customHeight="false" outlineLevel="0" collapsed="false">
      <c r="A149" s="7" t="s">
        <v>367</v>
      </c>
      <c r="B149" s="20" t="n">
        <f aca="false">RANK(B147,$B$147:$E$147)</f>
        <v>2</v>
      </c>
      <c r="C149" s="20" t="n">
        <f aca="false">RANK(C147,$B$147:$E$147)</f>
        <v>4</v>
      </c>
      <c r="D149" s="20" t="n">
        <f aca="false">RANK(D147,$B$147:$E$147)</f>
        <v>3</v>
      </c>
      <c r="E149" s="20" t="n">
        <f aca="false">RANK(E147,$B$147:$E$147)</f>
        <v>1</v>
      </c>
    </row>
    <row r="150" customFormat="false" ht="15" hidden="false" customHeight="false" outlineLevel="0" collapsed="false">
      <c r="A150" s="7" t="s">
        <v>368</v>
      </c>
      <c r="B150" s="11" t="n">
        <f aca="false">D128</f>
        <v>0.220436700459253</v>
      </c>
    </row>
    <row r="151" customFormat="false" ht="15" hidden="false" customHeight="false" outlineLevel="0" collapsed="false">
      <c r="A151" s="7" t="s">
        <v>369</v>
      </c>
      <c r="B151" s="7" t="str">
        <f aca="false">IF(AND(B148=B149,C148=C149,D148=D149,E148=E149),"YES","NO")</f>
        <v>NO</v>
      </c>
    </row>
    <row r="152" customFormat="false" ht="15" hidden="false" customHeight="false" outlineLevel="0" collapsed="false">
      <c r="A152" s="2" t="s">
        <v>370</v>
      </c>
      <c r="B152" s="2" t="str">
        <f aca="false">IF(AND(B150&gt;0,B150&gt;=$B$134,B151="YES"),"SUPPORTED","NOT SUPPORTED")</f>
        <v>NOT SUPPORTED</v>
      </c>
    </row>
    <row r="154" customFormat="false" ht="15" hidden="false" customHeight="false" outlineLevel="0" collapsed="false">
      <c r="A154" s="2" t="s">
        <v>371</v>
      </c>
    </row>
    <row r="155" customFormat="false" ht="21.75" hidden="false" customHeight="true" outlineLevel="0" collapsed="false">
      <c r="A155" s="6" t="s">
        <v>358</v>
      </c>
      <c r="B155" s="6" t="s">
        <v>372</v>
      </c>
      <c r="C155" s="6" t="s">
        <v>128</v>
      </c>
      <c r="D155" s="6" t="s">
        <v>130</v>
      </c>
      <c r="E155" s="6" t="s">
        <v>132</v>
      </c>
      <c r="F155" s="6" t="s">
        <v>134</v>
      </c>
    </row>
    <row r="156" customFormat="false" ht="15" hidden="false" customHeight="false" outlineLevel="0" collapsed="false">
      <c r="A156" s="7" t="s">
        <v>373</v>
      </c>
      <c r="B156" s="11" t="n">
        <f aca="false">D114</f>
        <v>-0.130269304851348</v>
      </c>
      <c r="C156" s="11" t="n">
        <f aca="false">E114</f>
        <v>-0.284758437068676</v>
      </c>
      <c r="D156" s="11" t="n">
        <f aca="false">F114</f>
        <v>0.410679861338705</v>
      </c>
      <c r="E156" s="11" t="n">
        <f aca="false">G114</f>
        <v>0.0964191570102051</v>
      </c>
      <c r="F156" s="11" t="n">
        <f aca="false">H114</f>
        <v>0.345371007900713</v>
      </c>
    </row>
    <row r="157" customFormat="false" ht="15" hidden="false" customHeight="false" outlineLevel="0" collapsed="false">
      <c r="A157" s="7" t="s">
        <v>374</v>
      </c>
      <c r="B157" s="20" t="n">
        <f aca="false">COUNTIF(C156:F156,"&gt;0")</f>
        <v>3</v>
      </c>
    </row>
    <row r="158" customFormat="false" ht="15" hidden="false" customHeight="false" outlineLevel="0" collapsed="false">
      <c r="A158" s="7" t="s">
        <v>375</v>
      </c>
      <c r="B158" s="11" t="n">
        <f aca="false">I114</f>
        <v>0.264885307801836</v>
      </c>
    </row>
    <row r="159" customFormat="false" ht="15" hidden="false" customHeight="false" outlineLevel="0" collapsed="false">
      <c r="A159" s="2" t="s">
        <v>376</v>
      </c>
      <c r="B159" s="2" t="str">
        <f aca="false">IF(AND(B156&gt;0,B157&gt;=$B$135),"SUPPORTED","NOT SUPPORTED")</f>
        <v>NOT SUPPORTED</v>
      </c>
    </row>
    <row r="161" customFormat="false" ht="15" hidden="false" customHeight="false" outlineLevel="0" collapsed="false">
      <c r="A161" s="2" t="s">
        <v>377</v>
      </c>
    </row>
    <row r="162" customFormat="false" ht="21.75" hidden="false" customHeight="true" outlineLevel="0" collapsed="false">
      <c r="A162" s="6" t="s">
        <v>358</v>
      </c>
      <c r="B162" s="6" t="s">
        <v>128</v>
      </c>
      <c r="C162" s="6" t="s">
        <v>130</v>
      </c>
      <c r="D162" s="6" t="s">
        <v>132</v>
      </c>
      <c r="E162" s="6" t="s">
        <v>134</v>
      </c>
    </row>
    <row r="163" customFormat="false" ht="15" hidden="false" customHeight="false" outlineLevel="0" collapsed="false">
      <c r="A163" s="7" t="s">
        <v>378</v>
      </c>
      <c r="B163" s="11" t="n">
        <f aca="false">SUMIFS(04_CALCULATIONS!$D$2:$D$65,04_CALCULATIONS!$B$2:$B$65,"HUN",04_CALCULATIONS!$C$2:$C$65,$B$136)</f>
        <v>-6.14474551665293</v>
      </c>
      <c r="C163" s="11" t="n">
        <f aca="false">SUMIFS(04_CALCULATIONS!$D$2:$D$65,04_CALCULATIONS!$B$2:$B$65,"POL",04_CALCULATIONS!$C$2:$C$65,$B$136)</f>
        <v>-1.07566234288528</v>
      </c>
      <c r="D163" s="11" t="n">
        <f aca="false">SUMIFS(04_CALCULATIONS!$D$2:$D$65,04_CALCULATIONS!$B$2:$B$65,"CZE",04_CALCULATIONS!$C$2:$C$65,$B$136)</f>
        <v>-8.51612580418187</v>
      </c>
      <c r="E163" s="11" t="n">
        <f aca="false">SUMIFS(04_CALCULATIONS!$D$2:$D$65,04_CALCULATIONS!$B$2:$B$65,"SVK",04_CALCULATIONS!$C$2:$C$65,$B$136)</f>
        <v>-6.35535306900036</v>
      </c>
    </row>
    <row r="164" customFormat="false" ht="15" hidden="false" customHeight="false" outlineLevel="0" collapsed="false">
      <c r="A164" s="7" t="s">
        <v>379</v>
      </c>
      <c r="B164" s="11" t="n">
        <f aca="false">SUMIFS(04_CALCULATIONS!$D$2:$D$65,04_CALCULATIONS!$B$2:$B$65,"HUN",04_CALCULATIONS!$C$2:$C$65,$C$136)</f>
        <v>8.24041022512709</v>
      </c>
      <c r="C164" s="11" t="n">
        <f aca="false">SUMIFS(04_CALCULATIONS!$D$2:$D$65,04_CALCULATIONS!$B$2:$B$65,"POL",04_CALCULATIONS!$C$2:$C$65,$C$136)</f>
        <v>12.3031677387779</v>
      </c>
      <c r="D164" s="11" t="n">
        <f aca="false">SUMIFS(04_CALCULATIONS!$D$2:$D$65,04_CALCULATIONS!$B$2:$B$65,"CZE",04_CALCULATIONS!$C$2:$C$65,$C$136)</f>
        <v>8.15308945199458</v>
      </c>
      <c r="E164" s="11" t="n">
        <f aca="false">SUMIFS(04_CALCULATIONS!$D$2:$D$65,04_CALCULATIONS!$B$2:$B$65,"SVK",04_CALCULATIONS!$C$2:$C$65,$C$136)</f>
        <v>10.6610621875004</v>
      </c>
    </row>
    <row r="165" customFormat="false" ht="15" hidden="false" customHeight="false" outlineLevel="0" collapsed="false">
      <c r="A165" s="7" t="s">
        <v>380</v>
      </c>
      <c r="B165" s="11" t="n">
        <f aca="false">C86</f>
        <v>5.72030438161061</v>
      </c>
      <c r="C165" s="11" t="n">
        <f aca="false">C87</f>
        <v>7.15675731652119</v>
      </c>
      <c r="D165" s="11" t="n">
        <f aca="false">C88</f>
        <v>5.90514098050439</v>
      </c>
      <c r="E165" s="11" t="n">
        <f aca="false">C89</f>
        <v>6.81487876175842</v>
      </c>
    </row>
    <row r="166" customFormat="false" ht="15" hidden="false" customHeight="false" outlineLevel="0" collapsed="false">
      <c r="A166" s="7" t="s">
        <v>381</v>
      </c>
      <c r="B166" s="7" t="str">
        <f aca="false">IF(B163&lt;0,"YES","NO")</f>
        <v>YES</v>
      </c>
      <c r="C166" s="7" t="str">
        <f aca="false">IF(C163&lt;0,"YES","NO")</f>
        <v>YES</v>
      </c>
      <c r="D166" s="7" t="str">
        <f aca="false">IF(D163&lt;0,"YES","NO")</f>
        <v>YES</v>
      </c>
      <c r="E166" s="7" t="str">
        <f aca="false">IF(E163&lt;0,"YES","NO")</f>
        <v>YES</v>
      </c>
    </row>
    <row r="167" customFormat="false" ht="15" hidden="false" customHeight="false" outlineLevel="0" collapsed="false">
      <c r="A167" s="7" t="s">
        <v>382</v>
      </c>
      <c r="B167" s="7" t="str">
        <f aca="false">IF(AND(B164&gt;0,B164&gt;B165),"YES","NO")</f>
        <v>YES</v>
      </c>
      <c r="C167" s="7" t="str">
        <f aca="false">IF(AND(C164&gt;0,C164&gt;C165),"YES","NO")</f>
        <v>YES</v>
      </c>
      <c r="D167" s="7" t="str">
        <f aca="false">IF(AND(D164&gt;0,D164&gt;D165),"YES","NO")</f>
        <v>YES</v>
      </c>
      <c r="E167" s="7" t="str">
        <f aca="false">IF(AND(E164&gt;0,E164&gt;E165),"YES","NO")</f>
        <v>YES</v>
      </c>
    </row>
    <row r="168" customFormat="false" ht="15" hidden="false" customHeight="false" outlineLevel="0" collapsed="false">
      <c r="A168" s="2" t="s">
        <v>383</v>
      </c>
      <c r="B168" s="2" t="str">
        <f aca="false">IF(AND(COUNTIF(B166:E166,"YES")=4,COUNTIF(B167:E167,"YES")=4),"SUPPORTED","NOT SUPPORTED")</f>
        <v>SUPPORTED</v>
      </c>
    </row>
    <row r="170" customFormat="false" ht="15" hidden="false" customHeight="false" outlineLevel="0" collapsed="false">
      <c r="A170" s="4" t="s">
        <v>384</v>
      </c>
    </row>
    <row r="171" customFormat="false" ht="15" hidden="false" customHeight="false" outlineLevel="0" collapsed="false">
      <c r="A171" s="2" t="s">
        <v>385</v>
      </c>
      <c r="B171" s="2" t="str">
        <f aca="false">B142</f>
        <v>SUPPORTED</v>
      </c>
    </row>
    <row r="172" customFormat="false" ht="15" hidden="false" customHeight="false" outlineLevel="0" collapsed="false">
      <c r="A172" s="2" t="s">
        <v>94</v>
      </c>
      <c r="B172" s="2" t="str">
        <f aca="false">B152</f>
        <v>NOT SUPPORTED</v>
      </c>
    </row>
    <row r="173" customFormat="false" ht="15" hidden="false" customHeight="false" outlineLevel="0" collapsed="false">
      <c r="A173" s="2" t="s">
        <v>386</v>
      </c>
      <c r="B173" s="2" t="str">
        <f aca="false">B159</f>
        <v>NOT SUPPORTED</v>
      </c>
    </row>
    <row r="174" customFormat="false" ht="15" hidden="false" customHeight="false" outlineLevel="0" collapsed="false">
      <c r="A174" s="2" t="s">
        <v>387</v>
      </c>
      <c r="B174" s="2" t="str">
        <f aca="false">B168</f>
        <v>SUPPORTED</v>
      </c>
    </row>
    <row r="175" customFormat="false" ht="15" hidden="false" customHeight="false" outlineLevel="0" collapsed="false">
      <c r="A175" s="9"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2026-10-25T21:40:15Z</dcterms:created>
  <dc:creator>openpyxl</dc:creator>
  <dc:description/>
  <dc:language>en-US</dc:language>
  <cp:lastModifiedBy/>
  <dcterms:modified xsi:type="dcterms:W3CDTF">2026-10-25T22:46:10Z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